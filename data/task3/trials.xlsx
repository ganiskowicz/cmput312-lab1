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3" sheetId="1" r:id="rId5"/>
  </sheets>
  <definedNames/>
  <calcPr/>
</workbook>
</file>

<file path=xl/sharedStrings.xml><?xml version="1.0" encoding="utf-8"?>
<sst xmlns="http://schemas.openxmlformats.org/spreadsheetml/2006/main" count="148" uniqueCount="32">
  <si>
    <t>Straight Line</t>
  </si>
  <si>
    <t>Circle</t>
  </si>
  <si>
    <t>Rectangle</t>
  </si>
  <si>
    <t>Lemniscate</t>
  </si>
  <si>
    <t>Expected Pose</t>
  </si>
  <si>
    <t>𝑥 (mm)</t>
  </si>
  <si>
    <t>𝑦 (mm)</t>
  </si>
  <si>
    <t>𝜃 (°)</t>
  </si>
  <si>
    <t>𝑚 (mm)</t>
  </si>
  <si>
    <t>Velocity</t>
  </si>
  <si>
    <t>Trial</t>
  </si>
  <si>
    <t>Encoder Pose</t>
  </si>
  <si>
    <t>Emperical Pose</t>
  </si>
  <si>
    <t>Encoder Pose Error</t>
  </si>
  <si>
    <t>Emperical Pose Error</t>
  </si>
  <si>
    <t>Max Deviation (Graphical)</t>
  </si>
  <si>
    <t>𝑣 (mm/s)</t>
  </si>
  <si>
    <t>𝑑 (mm)</t>
  </si>
  <si>
    <t>𝜔 (°/s)</t>
  </si>
  <si>
    <t>𝜔 (°/s), 𝑣 (mm/s)</t>
  </si>
  <si>
    <t>1</t>
  </si>
  <si>
    <t>45, 150</t>
  </si>
  <si>
    <t>75</t>
  </si>
  <si>
    <t>177</t>
  </si>
  <si>
    <t>78</t>
  </si>
  <si>
    <t>35</t>
  </si>
  <si>
    <t>70</t>
  </si>
  <si>
    <t>151</t>
  </si>
  <si>
    <t>83</t>
  </si>
  <si>
    <t>Avg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</si>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</sst>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5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2" fontId="1" numFmtId="49" xfId="0" applyAlignment="1" applyFill="1" applyFont="1" applyNumberFormat="1">
      <alignment readingOrder="0" vertical="bottom"/>
    </xf>
    <xf borderId="0" fillId="0" fontId="3" numFmtId="49" xfId="0" applyFont="1" applyNumberFormat="1"/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4" numFmtId="49" xfId="0" applyAlignment="1" applyFill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0" xfId="0" applyFont="1"/>
    <xf borderId="0" fillId="3" fontId="3" numFmtId="0" xfId="0" applyAlignment="1" applyFill="1" applyFont="1">
      <alignment horizontal="center" readingOrder="0"/>
    </xf>
    <xf borderId="0" fillId="3" fontId="4" numFmtId="49" xfId="0" applyAlignment="1" applyFill="1" applyFont="1" applyNumberFormat="1">
      <alignment horizontal="center" vertical="bottom"/>
    </xf>
    <xf borderId="0" fillId="3" fontId="4" numFmtId="0" xfId="0" applyAlignment="1" applyFill="1" applyFont="1">
      <alignment readingOrder="0" vertical="bottom"/>
    </xf>
    <xf borderId="0" fillId="4" fontId="4" numFmtId="49" xfId="0" applyAlignment="1" applyFill="1" applyFont="1" applyNumberFormat="1">
      <alignment horizontal="center" readingOrder="0" vertical="bottom"/>
    </xf>
    <xf borderId="0" fillId="5" fontId="4" numFmtId="49" xfId="0" applyAlignment="1" applyFill="1" applyFont="1" applyNumberFormat="1">
      <alignment horizontal="center" readingOrder="0" vertical="bottom"/>
    </xf>
    <xf borderId="0" fillId="6" fontId="4" numFmtId="49" xfId="0" applyAlignment="1" applyFill="1" applyFont="1" applyNumberFormat="1">
      <alignment horizontal="center" vertical="bottom"/>
    </xf>
    <xf borderId="0" fillId="0" fontId="4" numFmtId="49" xfId="0" applyAlignment="1" applyFont="1" applyNumberFormat="1">
      <alignment horizontal="right" vertical="bottom"/>
    </xf>
    <xf borderId="0" fillId="7" fontId="4" numFmtId="164" xfId="0" applyAlignment="1" applyFill="1" applyFont="1" applyNumberFormat="1">
      <alignment readingOrder="0" vertical="bottom"/>
    </xf>
    <xf borderId="0" fillId="0" fontId="3" numFmtId="164" xfId="0" applyFont="1" applyNumberFormat="1"/>
    <xf borderId="0" fillId="7" fontId="4" numFmtId="165" xfId="0" applyAlignment="1" applyFill="1" applyFont="1" applyNumberFormat="1">
      <alignment readingOrder="0" vertical="bottom"/>
    </xf>
    <xf borderId="0" fillId="0" fontId="3" numFmtId="165" xfId="0" applyFont="1" applyNumberFormat="1"/>
    <xf borderId="0" fillId="8" fontId="4" numFmtId="164" xfId="0" applyAlignment="1" applyFill="1" applyFont="1" applyNumberFormat="1">
      <alignment vertical="bottom"/>
    </xf>
    <xf borderId="0" fillId="8" fontId="3" numFmtId="164" xfId="0" applyFill="1" applyFont="1" applyNumberFormat="1"/>
    <xf borderId="0" fillId="8" fontId="4" numFmtId="165" xfId="0" applyAlignment="1" applyFill="1" applyFont="1" applyNumberFormat="1">
      <alignment vertical="bottom"/>
    </xf>
    <xf borderId="0" fillId="8" fontId="3" numFmtId="165" xfId="0" applyFill="1" applyFont="1" applyNumberFormat="1"/>
    <xf borderId="0" fillId="9" fontId="4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7" fontId="4" numFmtId="0" xfId="0" applyAlignment="1" applyFill="1" applyFont="1">
      <alignment readingOrder="0" vertical="bottom"/>
    </xf>
    <xf borderId="0" fillId="0" fontId="4" numFmtId="0" xfId="0" applyAlignment="1" applyFont="1">
      <alignment horizontal="right" vertical="bottom"/>
    </xf>
    <xf borderId="0" fillId="9" fontId="4" numFmtId="49" xfId="0" applyAlignment="1" applyFill="1" applyFont="1" applyNumberFormat="1">
      <alignment horizontal="right" vertical="bottom"/>
    </xf>
    <xf borderId="0" fillId="9" fontId="4" numFmtId="49" xfId="0" applyAlignment="1" applyFill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1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V1" s="1" t="s">
        <v>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1" t="s">
        <v>2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L1" s="4" t="s">
        <v>3</v>
      </c>
      <c r="CG1" s="5"/>
      <c r="CH1" s="5"/>
      <c r="CI1" s="5"/>
      <c r="CJ1" s="5"/>
      <c r="CK1" s="5"/>
      <c r="CL1" s="5"/>
      <c r="CM1" s="5"/>
      <c r="CO1" s="5"/>
      <c r="CP1" s="5"/>
      <c r="CQ1" s="5"/>
      <c r="CR1" s="5"/>
      <c r="CS1" s="5"/>
      <c r="CT1" s="5"/>
      <c r="CU1" s="5"/>
    </row>
    <row r="2">
      <c r="A2" s="6" t="s">
        <v>4</v>
      </c>
      <c r="E2" s="7"/>
      <c r="V2" s="6" t="s">
        <v>4</v>
      </c>
      <c r="Z2" s="7"/>
      <c r="AQ2" s="6" t="s">
        <v>4</v>
      </c>
      <c r="AU2" s="7"/>
      <c r="BL2" s="6" t="s">
        <v>4</v>
      </c>
      <c r="BP2" s="7"/>
      <c r="CG2" s="5"/>
      <c r="CH2" s="5"/>
      <c r="CO2" s="5"/>
    </row>
    <row r="3">
      <c r="A3" s="8" t="s">
        <v>5</v>
      </c>
      <c r="B3" s="8" t="s">
        <v>6</v>
      </c>
      <c r="C3" s="8" t="s">
        <v>7</v>
      </c>
      <c r="D3" s="6" t="s">
        <v>8</v>
      </c>
      <c r="V3" s="8" t="s">
        <v>5</v>
      </c>
      <c r="W3" s="8" t="s">
        <v>6</v>
      </c>
      <c r="X3" s="8" t="s">
        <v>7</v>
      </c>
      <c r="Y3" s="6" t="s">
        <v>8</v>
      </c>
      <c r="AQ3" s="8" t="s">
        <v>5</v>
      </c>
      <c r="AR3" s="8" t="s">
        <v>6</v>
      </c>
      <c r="AS3" s="8" t="s">
        <v>7</v>
      </c>
      <c r="AT3" s="6" t="s">
        <v>8</v>
      </c>
      <c r="BL3" s="8" t="s">
        <v>5</v>
      </c>
      <c r="BM3" s="8" t="s">
        <v>6</v>
      </c>
      <c r="BN3" s="8" t="s">
        <v>7</v>
      </c>
      <c r="BO3" s="6" t="s">
        <v>8</v>
      </c>
      <c r="CG3" s="5"/>
      <c r="CH3" s="5"/>
      <c r="CI3" s="5"/>
      <c r="CJ3" s="5"/>
      <c r="CK3" s="5"/>
      <c r="CL3" s="5"/>
      <c r="CM3" s="5"/>
      <c r="CO3" s="5"/>
      <c r="CP3" s="5"/>
      <c r="CQ3" s="5"/>
      <c r="CR3" s="5"/>
      <c r="CS3" s="5"/>
      <c r="CT3" s="5"/>
      <c r="CU3" s="5"/>
    </row>
    <row r="4">
      <c r="A4" s="9">
        <v>1000.0</v>
      </c>
      <c r="B4" s="9">
        <v>0.0</v>
      </c>
      <c r="C4" s="9">
        <v>0.0</v>
      </c>
      <c r="D4" s="10">
        <f>SQRT(POW(A4,2)+POW(B4,2))</f>
        <v>1000</v>
      </c>
      <c r="V4" s="9">
        <v>0.0</v>
      </c>
      <c r="W4" s="9">
        <v>0.0</v>
      </c>
      <c r="X4" s="9">
        <v>0.0</v>
      </c>
      <c r="Y4" s="10">
        <f>SQRT(POW(V4,2)+POW(W4,2))</f>
        <v>0</v>
      </c>
      <c r="AQ4" s="9">
        <v>0.0</v>
      </c>
      <c r="AR4" s="9">
        <v>0.0</v>
      </c>
      <c r="AS4" s="9">
        <v>0.0</v>
      </c>
      <c r="AT4" s="10">
        <f>SQRT(POW(AQ4,2)+POW(AR4,2))</f>
        <v>0</v>
      </c>
      <c r="BL4" s="9">
        <v>0.0</v>
      </c>
      <c r="BM4" s="9">
        <v>0.0</v>
      </c>
      <c r="BN4" s="9">
        <v>0.0</v>
      </c>
      <c r="BO4" s="10">
        <f>SQRT(POW(BL4,2)+POW(BM4,2))</f>
        <v>0</v>
      </c>
      <c r="CG4" s="5"/>
      <c r="CH4" s="11"/>
      <c r="CI4" s="11"/>
      <c r="CJ4" s="11"/>
      <c r="CO4" s="5"/>
      <c r="CP4" s="12"/>
      <c r="CQ4" s="12"/>
      <c r="CR4" s="12"/>
      <c r="CS4" s="12"/>
      <c r="CT4" s="12"/>
      <c r="CU4" s="12"/>
    </row>
    <row r="5">
      <c r="A5" s="13" t="s">
        <v>9</v>
      </c>
      <c r="B5" s="14" t="s">
        <v>10</v>
      </c>
      <c r="C5" s="6" t="s">
        <v>11</v>
      </c>
      <c r="G5" s="6" t="s">
        <v>12</v>
      </c>
      <c r="K5" s="6" t="s">
        <v>13</v>
      </c>
      <c r="O5" s="6" t="s">
        <v>14</v>
      </c>
      <c r="S5" s="15" t="s">
        <v>15</v>
      </c>
      <c r="V5" s="13" t="s">
        <v>9</v>
      </c>
      <c r="W5" s="14" t="s">
        <v>10</v>
      </c>
      <c r="X5" s="6" t="s">
        <v>11</v>
      </c>
      <c r="AB5" s="6" t="s">
        <v>12</v>
      </c>
      <c r="AF5" s="6" t="s">
        <v>13</v>
      </c>
      <c r="AJ5" s="6" t="s">
        <v>14</v>
      </c>
      <c r="AN5" s="15" t="s">
        <v>15</v>
      </c>
      <c r="AQ5" s="13" t="s">
        <v>9</v>
      </c>
      <c r="AR5" s="14" t="s">
        <v>10</v>
      </c>
      <c r="AS5" s="6" t="s">
        <v>11</v>
      </c>
      <c r="AW5" s="6" t="s">
        <v>12</v>
      </c>
      <c r="BA5" s="6" t="s">
        <v>13</v>
      </c>
      <c r="BE5" s="6" t="s">
        <v>14</v>
      </c>
      <c r="BI5" s="15" t="s">
        <v>15</v>
      </c>
      <c r="BL5" s="13" t="s">
        <v>9</v>
      </c>
      <c r="BM5" s="14" t="s">
        <v>10</v>
      </c>
      <c r="BN5" s="6" t="s">
        <v>11</v>
      </c>
      <c r="BR5" s="6" t="s">
        <v>12</v>
      </c>
      <c r="BV5" s="6" t="s">
        <v>13</v>
      </c>
      <c r="BZ5" s="6" t="s">
        <v>14</v>
      </c>
      <c r="CD5" s="15" t="s">
        <v>15</v>
      </c>
      <c r="CO5" s="12"/>
      <c r="CP5" s="12"/>
      <c r="CQ5" s="12"/>
      <c r="CR5" s="12"/>
      <c r="CS5" s="12"/>
      <c r="CT5" s="12"/>
      <c r="CU5" s="12"/>
    </row>
    <row r="6">
      <c r="A6" s="13" t="s">
        <v>16</v>
      </c>
      <c r="C6" s="16" t="s">
        <v>5</v>
      </c>
      <c r="D6" s="16" t="s">
        <v>6</v>
      </c>
      <c r="E6" s="16" t="s">
        <v>7</v>
      </c>
      <c r="F6" s="8" t="s">
        <v>8</v>
      </c>
      <c r="G6" s="16" t="s">
        <v>5</v>
      </c>
      <c r="H6" s="16" t="s">
        <v>6</v>
      </c>
      <c r="I6" s="16" t="s">
        <v>7</v>
      </c>
      <c r="J6" s="8" t="s">
        <v>8</v>
      </c>
      <c r="K6" s="17" t="s">
        <v>5</v>
      </c>
      <c r="L6" s="17" t="s">
        <v>6</v>
      </c>
      <c r="M6" s="17" t="s">
        <v>7</v>
      </c>
      <c r="N6" s="8" t="s">
        <v>8</v>
      </c>
      <c r="O6" s="17" t="s">
        <v>5</v>
      </c>
      <c r="P6" s="17" t="s">
        <v>6</v>
      </c>
      <c r="Q6" s="17" t="s">
        <v>7</v>
      </c>
      <c r="R6" s="8" t="s">
        <v>8</v>
      </c>
      <c r="S6" s="18" t="s">
        <v>17</v>
      </c>
      <c r="V6" s="13" t="s">
        <v>18</v>
      </c>
      <c r="X6" s="16" t="s">
        <v>5</v>
      </c>
      <c r="Y6" s="16" t="s">
        <v>6</v>
      </c>
      <c r="Z6" s="16" t="s">
        <v>7</v>
      </c>
      <c r="AA6" s="8" t="s">
        <v>8</v>
      </c>
      <c r="AB6" s="16" t="s">
        <v>5</v>
      </c>
      <c r="AC6" s="16" t="s">
        <v>6</v>
      </c>
      <c r="AD6" s="16" t="s">
        <v>7</v>
      </c>
      <c r="AE6" s="8" t="s">
        <v>8</v>
      </c>
      <c r="AF6" s="17" t="s">
        <v>5</v>
      </c>
      <c r="AG6" s="17" t="s">
        <v>6</v>
      </c>
      <c r="AH6" s="17" t="s">
        <v>7</v>
      </c>
      <c r="AI6" s="8" t="s">
        <v>8</v>
      </c>
      <c r="AJ6" s="17" t="s">
        <v>5</v>
      </c>
      <c r="AK6" s="17" t="s">
        <v>6</v>
      </c>
      <c r="AL6" s="17" t="s">
        <v>7</v>
      </c>
      <c r="AM6" s="8" t="s">
        <v>8</v>
      </c>
      <c r="AN6" s="18" t="s">
        <v>17</v>
      </c>
      <c r="AQ6" s="13" t="s">
        <v>19</v>
      </c>
      <c r="AS6" s="16" t="s">
        <v>5</v>
      </c>
      <c r="AT6" s="16" t="s">
        <v>6</v>
      </c>
      <c r="AU6" s="16" t="s">
        <v>7</v>
      </c>
      <c r="AV6" s="8" t="s">
        <v>8</v>
      </c>
      <c r="AW6" s="16" t="s">
        <v>5</v>
      </c>
      <c r="AX6" s="16" t="s">
        <v>6</v>
      </c>
      <c r="AY6" s="16" t="s">
        <v>7</v>
      </c>
      <c r="AZ6" s="8" t="s">
        <v>8</v>
      </c>
      <c r="BA6" s="17" t="s">
        <v>5</v>
      </c>
      <c r="BB6" s="17" t="s">
        <v>6</v>
      </c>
      <c r="BC6" s="17" t="s">
        <v>7</v>
      </c>
      <c r="BD6" s="8" t="s">
        <v>8</v>
      </c>
      <c r="BE6" s="17" t="s">
        <v>5</v>
      </c>
      <c r="BF6" s="17" t="s">
        <v>6</v>
      </c>
      <c r="BG6" s="17" t="s">
        <v>7</v>
      </c>
      <c r="BH6" s="8" t="s">
        <v>8</v>
      </c>
      <c r="BI6" s="18" t="s">
        <v>17</v>
      </c>
      <c r="BL6" s="13" t="s">
        <v>16</v>
      </c>
      <c r="BN6" s="16" t="s">
        <v>5</v>
      </c>
      <c r="BO6" s="16" t="s">
        <v>6</v>
      </c>
      <c r="BP6" s="16" t="s">
        <v>7</v>
      </c>
      <c r="BQ6" s="8" t="s">
        <v>8</v>
      </c>
      <c r="BR6" s="16" t="s">
        <v>5</v>
      </c>
      <c r="BS6" s="16" t="s">
        <v>6</v>
      </c>
      <c r="BT6" s="16" t="s">
        <v>7</v>
      </c>
      <c r="BU6" s="8" t="s">
        <v>8</v>
      </c>
      <c r="BV6" s="17" t="s">
        <v>5</v>
      </c>
      <c r="BW6" s="17" t="s">
        <v>6</v>
      </c>
      <c r="BX6" s="17" t="s">
        <v>7</v>
      </c>
      <c r="BY6" s="8" t="s">
        <v>8</v>
      </c>
      <c r="BZ6" s="17" t="s">
        <v>5</v>
      </c>
      <c r="CA6" s="17" t="s">
        <v>6</v>
      </c>
      <c r="CB6" s="17" t="s">
        <v>7</v>
      </c>
      <c r="CC6" s="8" t="s">
        <v>8</v>
      </c>
      <c r="CD6" s="18" t="s">
        <v>17</v>
      </c>
      <c r="CO6" s="12"/>
      <c r="CP6" s="12"/>
      <c r="CQ6" s="12"/>
      <c r="CR6" s="12"/>
      <c r="CS6" s="12"/>
      <c r="CT6" s="12"/>
      <c r="CU6" s="12"/>
    </row>
    <row r="7">
      <c r="A7" s="9">
        <v>150.0</v>
      </c>
      <c r="B7" s="19" t="s">
        <v>20</v>
      </c>
      <c r="C7" s="20">
        <v>999.516</v>
      </c>
      <c r="D7" s="20">
        <v>-14.328</v>
      </c>
      <c r="E7" s="20">
        <v>-0.848</v>
      </c>
      <c r="F7" s="21">
        <f t="shared" ref="F7:F9" si="1">SQRT(POW(C7,2)+POW(D7,2))</f>
        <v>999.6186902</v>
      </c>
      <c r="G7" s="22">
        <v>985.0</v>
      </c>
      <c r="H7" s="22">
        <v>-20.0</v>
      </c>
      <c r="I7" s="22">
        <v>-3.0</v>
      </c>
      <c r="J7" s="23">
        <f t="shared" ref="J7:J9" si="2">SQRT(POW(G7,2)+POW(H7,2))</f>
        <v>985.2030248</v>
      </c>
      <c r="K7" s="24">
        <f t="shared" ref="K7:K9" si="3">(C7-$A$4)</f>
        <v>-0.484</v>
      </c>
      <c r="L7" s="25">
        <f t="shared" ref="L7:L9" si="4">(D7-$B$4)</f>
        <v>-14.328</v>
      </c>
      <c r="M7" s="25">
        <f t="shared" ref="M7:M9" si="5">(E7-$C$4)</f>
        <v>-0.848</v>
      </c>
      <c r="N7" s="21">
        <f t="shared" ref="N7:N9" si="6">SQRT(POW(K7,2)+POW(L7,2))</f>
        <v>14.33617243</v>
      </c>
      <c r="O7" s="26">
        <f t="shared" ref="O7:O9" si="7">(G7-$A$4)</f>
        <v>-15</v>
      </c>
      <c r="P7" s="27">
        <f t="shared" ref="P7:P9" si="8">(H7-$B$4)</f>
        <v>-20</v>
      </c>
      <c r="Q7" s="27">
        <f t="shared" ref="Q7:Q9" si="9">(I7-$C$4)</f>
        <v>-3</v>
      </c>
      <c r="R7" s="23">
        <f t="shared" ref="R7:R9" si="10">SQRT(POW(O7,2)+POW(P7,2))</f>
        <v>25</v>
      </c>
      <c r="S7" s="28">
        <v>37.0</v>
      </c>
      <c r="V7" s="9">
        <v>45.0</v>
      </c>
      <c r="W7" s="19" t="s">
        <v>20</v>
      </c>
      <c r="X7" s="20">
        <v>-3.936</v>
      </c>
      <c r="Y7" s="20">
        <v>-0.114</v>
      </c>
      <c r="Z7" s="20">
        <v>0.242</v>
      </c>
      <c r="AA7" s="21">
        <f t="shared" ref="AA7:AA9" si="11">SQRT(POW(X7,2)+POW(Y7,2))</f>
        <v>3.937650569</v>
      </c>
      <c r="AB7" s="22">
        <v>15.0</v>
      </c>
      <c r="AC7" s="22">
        <v>-13.0</v>
      </c>
      <c r="AD7" s="22">
        <v>2.0</v>
      </c>
      <c r="AE7" s="23">
        <f t="shared" ref="AE7:AE9" si="12">SQRT(POW(AB7,2)+POW(AC7,2))</f>
        <v>19.84943324</v>
      </c>
      <c r="AF7" s="24">
        <f t="shared" ref="AF7:AF9" si="13">(X7-$V$4)</f>
        <v>-3.936</v>
      </c>
      <c r="AG7" s="25">
        <f t="shared" ref="AG7:AG9" si="14">(Y7-$W$4)</f>
        <v>-0.114</v>
      </c>
      <c r="AH7" s="25">
        <f t="shared" ref="AH7:AH9" si="15">(Z7-$X$4)</f>
        <v>0.242</v>
      </c>
      <c r="AI7" s="21">
        <f t="shared" ref="AI7:AI9" si="16">SQRT(POW(AF7,2)+POW(AG7,2))</f>
        <v>3.937650569</v>
      </c>
      <c r="AJ7" s="26">
        <f t="shared" ref="AJ7:AJ9" si="17">(AB7-$V$4)</f>
        <v>15</v>
      </c>
      <c r="AK7" s="27">
        <f t="shared" ref="AK7:AK9" si="18">(AC7-$W$4)</f>
        <v>-13</v>
      </c>
      <c r="AL7" s="27">
        <f t="shared" ref="AL7:AL9" si="19">(AD7-$X$4)</f>
        <v>2</v>
      </c>
      <c r="AM7" s="23">
        <f t="shared" ref="AM7:AM9" si="20">SQRT(POW(AJ7,2)+POW(AK7,2))</f>
        <v>19.84943324</v>
      </c>
      <c r="AN7" s="28">
        <v>78.0</v>
      </c>
      <c r="AQ7" s="29" t="s">
        <v>21</v>
      </c>
      <c r="AR7" s="19" t="s">
        <v>20</v>
      </c>
      <c r="AS7" s="20">
        <v>-28.29</v>
      </c>
      <c r="AT7" s="20">
        <v>12.065</v>
      </c>
      <c r="AU7" s="20">
        <v>-3.127</v>
      </c>
      <c r="AV7" s="21">
        <f t="shared" ref="AV7:AV9" si="21">SQRT(POW(AS7,2)+POW(AT7,2))</f>
        <v>30.75529751</v>
      </c>
      <c r="AW7" s="22">
        <v>46.0</v>
      </c>
      <c r="AX7" s="22">
        <v>-18.0</v>
      </c>
      <c r="AY7" s="22">
        <v>12.0</v>
      </c>
      <c r="AZ7" s="23">
        <f t="shared" ref="AZ7:AZ9" si="22">SQRT(POW(AW7,2)+POW(AX7,2))</f>
        <v>49.39635614</v>
      </c>
      <c r="BA7" s="24">
        <f t="shared" ref="BA7:BA9" si="23">(AS7-$AQ$4)</f>
        <v>-28.29</v>
      </c>
      <c r="BB7" s="25">
        <f t="shared" ref="BB7:BB9" si="24">(AT7-$AR$4)</f>
        <v>12.065</v>
      </c>
      <c r="BC7" s="25">
        <f t="shared" ref="BC7:BC9" si="25">(AU7-$AS$4)</f>
        <v>-3.127</v>
      </c>
      <c r="BD7" s="21">
        <f t="shared" ref="BD7:BD9" si="26">SQRT(POW(BA7,2)+POW(BB7,2))</f>
        <v>30.75529751</v>
      </c>
      <c r="BE7" s="26">
        <f t="shared" ref="BE7:BE9" si="27">(AW7-$AQ$4)</f>
        <v>46</v>
      </c>
      <c r="BF7" s="27">
        <f t="shared" ref="BF7:BF9" si="28">(AX7-$AR$4)</f>
        <v>-18</v>
      </c>
      <c r="BG7" s="27">
        <f t="shared" ref="BG7:BG9" si="29">(AY7-$AS$4)</f>
        <v>12</v>
      </c>
      <c r="BH7" s="23">
        <f t="shared" ref="BH7:BH9" si="30">SQRT(POW(BE7,2)+POW(BF7,2))</f>
        <v>49.39635614</v>
      </c>
      <c r="BI7" s="28">
        <v>108.0</v>
      </c>
      <c r="BL7" s="9">
        <v>150.0</v>
      </c>
      <c r="BM7" s="19" t="s">
        <v>20</v>
      </c>
      <c r="BN7" s="30">
        <v>-6.886</v>
      </c>
      <c r="BO7" s="30">
        <v>0.502</v>
      </c>
      <c r="BP7" s="30">
        <v>-2.715</v>
      </c>
      <c r="BQ7" s="23">
        <f t="shared" ref="BQ7:BQ9" si="31">SQRT(POW(BN7,2)+POW(BO7,2))</f>
        <v>6.904274039</v>
      </c>
      <c r="BR7" s="30">
        <v>-106.0</v>
      </c>
      <c r="BS7" s="30">
        <v>-8.0</v>
      </c>
      <c r="BT7" s="30">
        <v>-10.0</v>
      </c>
      <c r="BU7" s="23">
        <f t="shared" ref="BU7:BU9" si="32">SQRT(POW(BR7,2)+POW(BS7,2))</f>
        <v>106.3014581</v>
      </c>
      <c r="BV7" s="24">
        <f t="shared" ref="BV7:BV9" si="33">(BN7-$AQ$4)</f>
        <v>-6.886</v>
      </c>
      <c r="BW7" s="25">
        <f t="shared" ref="BW7:BW9" si="34">(BO7-$AR$4)</f>
        <v>0.502</v>
      </c>
      <c r="BX7" s="25">
        <f t="shared" ref="BX7:BX9" si="35">(BP7-$AS$4)</f>
        <v>-2.715</v>
      </c>
      <c r="BY7" s="21">
        <f t="shared" ref="BY7:BY9" si="36">SQRT(POW(BV7,2)+POW(BW7,2))</f>
        <v>6.904274039</v>
      </c>
      <c r="BZ7" s="26">
        <f t="shared" ref="BZ7:BZ9" si="37">(BR7-$AQ$4)</f>
        <v>-106</v>
      </c>
      <c r="CA7" s="27">
        <f t="shared" ref="CA7:CA9" si="38">(BS7-$AR$4)</f>
        <v>-8</v>
      </c>
      <c r="CB7" s="27">
        <f t="shared" ref="CB7:CB9" si="39">(BT7-$AS$4)</f>
        <v>-10</v>
      </c>
      <c r="CC7" s="23">
        <f t="shared" ref="CC7:CC9" si="40">SQRT(POW(BZ7,2)+POW(CA7,2))</f>
        <v>106.3014581</v>
      </c>
      <c r="CD7" s="28">
        <v>82.0</v>
      </c>
      <c r="CO7" s="12"/>
    </row>
    <row r="8">
      <c r="B8" s="31">
        <v>2.0</v>
      </c>
      <c r="C8" s="20">
        <v>999.074</v>
      </c>
      <c r="D8" s="20">
        <v>-10.544</v>
      </c>
      <c r="E8" s="20">
        <v>-0.509</v>
      </c>
      <c r="F8" s="21">
        <f t="shared" si="1"/>
        <v>999.1296379</v>
      </c>
      <c r="G8" s="22">
        <v>983.0</v>
      </c>
      <c r="H8" s="22">
        <v>-23.0</v>
      </c>
      <c r="I8" s="22">
        <v>-3.0</v>
      </c>
      <c r="J8" s="23">
        <f t="shared" si="2"/>
        <v>983.2690374</v>
      </c>
      <c r="K8" s="24">
        <f t="shared" si="3"/>
        <v>-0.926</v>
      </c>
      <c r="L8" s="25">
        <f t="shared" si="4"/>
        <v>-10.544</v>
      </c>
      <c r="M8" s="25">
        <f t="shared" si="5"/>
        <v>-0.509</v>
      </c>
      <c r="N8" s="21">
        <f t="shared" si="6"/>
        <v>10.5845837</v>
      </c>
      <c r="O8" s="26">
        <f t="shared" si="7"/>
        <v>-17</v>
      </c>
      <c r="P8" s="27">
        <f t="shared" si="8"/>
        <v>-23</v>
      </c>
      <c r="Q8" s="27">
        <f t="shared" si="9"/>
        <v>-3</v>
      </c>
      <c r="R8" s="23">
        <f t="shared" si="10"/>
        <v>28.60069929</v>
      </c>
      <c r="S8" s="32">
        <v>41.0</v>
      </c>
      <c r="W8" s="31">
        <v>2.0</v>
      </c>
      <c r="X8" s="20">
        <v>-3.661</v>
      </c>
      <c r="Y8" s="20">
        <v>-0.461</v>
      </c>
      <c r="Z8" s="20">
        <v>0.242</v>
      </c>
      <c r="AA8" s="21">
        <f t="shared" si="11"/>
        <v>3.689910839</v>
      </c>
      <c r="AB8" s="22">
        <v>10.0</v>
      </c>
      <c r="AC8" s="22">
        <v>-3.0</v>
      </c>
      <c r="AD8" s="22">
        <v>-5.0</v>
      </c>
      <c r="AE8" s="23">
        <f t="shared" si="12"/>
        <v>10.44030651</v>
      </c>
      <c r="AF8" s="24">
        <f t="shared" si="13"/>
        <v>-3.661</v>
      </c>
      <c r="AG8" s="25">
        <f t="shared" si="14"/>
        <v>-0.461</v>
      </c>
      <c r="AH8" s="25">
        <f t="shared" si="15"/>
        <v>0.242</v>
      </c>
      <c r="AI8" s="21">
        <f t="shared" si="16"/>
        <v>3.689910839</v>
      </c>
      <c r="AJ8" s="26">
        <f t="shared" si="17"/>
        <v>10</v>
      </c>
      <c r="AK8" s="27">
        <f t="shared" si="18"/>
        <v>-3</v>
      </c>
      <c r="AL8" s="27">
        <f t="shared" si="19"/>
        <v>-5</v>
      </c>
      <c r="AM8" s="23">
        <f t="shared" si="20"/>
        <v>10.44030651</v>
      </c>
      <c r="AN8" s="33" t="s">
        <v>22</v>
      </c>
      <c r="AR8" s="31">
        <v>2.0</v>
      </c>
      <c r="AS8" s="20">
        <v>-19.126</v>
      </c>
      <c r="AT8" s="20">
        <v>20.161</v>
      </c>
      <c r="AU8" s="20">
        <v>-3.636</v>
      </c>
      <c r="AV8" s="21">
        <f t="shared" si="21"/>
        <v>27.78974266</v>
      </c>
      <c r="AW8" s="22">
        <v>173.0</v>
      </c>
      <c r="AX8" s="22">
        <v>-44.0</v>
      </c>
      <c r="AY8" s="22">
        <v>16.0</v>
      </c>
      <c r="AZ8" s="23">
        <f t="shared" si="22"/>
        <v>178.5077029</v>
      </c>
      <c r="BA8" s="24">
        <f t="shared" si="23"/>
        <v>-19.126</v>
      </c>
      <c r="BB8" s="25">
        <f t="shared" si="24"/>
        <v>20.161</v>
      </c>
      <c r="BC8" s="25">
        <f t="shared" si="25"/>
        <v>-3.636</v>
      </c>
      <c r="BD8" s="21">
        <f t="shared" si="26"/>
        <v>27.78974266</v>
      </c>
      <c r="BE8" s="26">
        <f t="shared" si="27"/>
        <v>173</v>
      </c>
      <c r="BF8" s="27">
        <f t="shared" si="28"/>
        <v>-44</v>
      </c>
      <c r="BG8" s="27">
        <f t="shared" si="29"/>
        <v>16</v>
      </c>
      <c r="BH8" s="23">
        <f t="shared" si="30"/>
        <v>178.5077029</v>
      </c>
      <c r="BI8" s="33" t="s">
        <v>23</v>
      </c>
      <c r="BM8" s="31">
        <v>2.0</v>
      </c>
      <c r="BN8" s="30">
        <v>-6.276</v>
      </c>
      <c r="BO8" s="30">
        <v>0.186</v>
      </c>
      <c r="BP8" s="30">
        <v>-2.206</v>
      </c>
      <c r="BQ8" s="23">
        <f t="shared" si="31"/>
        <v>6.278755609</v>
      </c>
      <c r="BR8" s="30">
        <v>-102.0</v>
      </c>
      <c r="BS8" s="30">
        <v>-3.0</v>
      </c>
      <c r="BT8" s="30">
        <v>-9.0</v>
      </c>
      <c r="BU8" s="23">
        <f t="shared" si="32"/>
        <v>102.0441081</v>
      </c>
      <c r="BV8" s="24">
        <f t="shared" si="33"/>
        <v>-6.276</v>
      </c>
      <c r="BW8" s="25">
        <f t="shared" si="34"/>
        <v>0.186</v>
      </c>
      <c r="BX8" s="25">
        <f t="shared" si="35"/>
        <v>-2.206</v>
      </c>
      <c r="BY8" s="21">
        <f t="shared" si="36"/>
        <v>6.278755609</v>
      </c>
      <c r="BZ8" s="26">
        <f t="shared" si="37"/>
        <v>-102</v>
      </c>
      <c r="CA8" s="27">
        <f t="shared" si="38"/>
        <v>-3</v>
      </c>
      <c r="CB8" s="27">
        <f t="shared" si="39"/>
        <v>-9</v>
      </c>
      <c r="CC8" s="23">
        <f t="shared" si="40"/>
        <v>102.0441081</v>
      </c>
      <c r="CD8" s="33" t="s">
        <v>24</v>
      </c>
    </row>
    <row r="9">
      <c r="B9" s="31">
        <v>3.0</v>
      </c>
      <c r="C9" s="20">
        <v>1000.784</v>
      </c>
      <c r="D9" s="20">
        <v>-10.666</v>
      </c>
      <c r="E9" s="20">
        <v>-0.679</v>
      </c>
      <c r="F9" s="21">
        <f t="shared" si="1"/>
        <v>1000.840836</v>
      </c>
      <c r="G9" s="22">
        <v>982.0</v>
      </c>
      <c r="H9" s="22">
        <v>-18.0</v>
      </c>
      <c r="I9" s="22">
        <v>-3.0</v>
      </c>
      <c r="J9" s="23">
        <f t="shared" si="2"/>
        <v>982.1649556</v>
      </c>
      <c r="K9" s="24">
        <f t="shared" si="3"/>
        <v>0.784</v>
      </c>
      <c r="L9" s="25">
        <f t="shared" si="4"/>
        <v>-10.666</v>
      </c>
      <c r="M9" s="25">
        <f t="shared" si="5"/>
        <v>-0.679</v>
      </c>
      <c r="N9" s="21">
        <f t="shared" si="6"/>
        <v>10.69477499</v>
      </c>
      <c r="O9" s="26">
        <f t="shared" si="7"/>
        <v>-18</v>
      </c>
      <c r="P9" s="27">
        <f t="shared" si="8"/>
        <v>-18</v>
      </c>
      <c r="Q9" s="27">
        <f t="shared" si="9"/>
        <v>-3</v>
      </c>
      <c r="R9" s="23">
        <f t="shared" si="10"/>
        <v>25.45584412</v>
      </c>
      <c r="S9" s="33" t="s">
        <v>25</v>
      </c>
      <c r="W9" s="31">
        <v>3.0</v>
      </c>
      <c r="X9" s="20">
        <v>-3.761</v>
      </c>
      <c r="Y9" s="20">
        <v>-0.476</v>
      </c>
      <c r="Z9" s="20">
        <v>0.073</v>
      </c>
      <c r="AA9" s="21">
        <f t="shared" si="11"/>
        <v>3.79100211</v>
      </c>
      <c r="AB9" s="22">
        <v>39.0</v>
      </c>
      <c r="AC9" s="22">
        <v>-8.0</v>
      </c>
      <c r="AD9" s="22">
        <v>-8.0</v>
      </c>
      <c r="AE9" s="23">
        <f t="shared" si="12"/>
        <v>39.81205847</v>
      </c>
      <c r="AF9" s="24">
        <f t="shared" si="13"/>
        <v>-3.761</v>
      </c>
      <c r="AG9" s="25">
        <f t="shared" si="14"/>
        <v>-0.476</v>
      </c>
      <c r="AH9" s="25">
        <f t="shared" si="15"/>
        <v>0.073</v>
      </c>
      <c r="AI9" s="21">
        <f t="shared" si="16"/>
        <v>3.79100211</v>
      </c>
      <c r="AJ9" s="26">
        <f t="shared" si="17"/>
        <v>39</v>
      </c>
      <c r="AK9" s="27">
        <f t="shared" si="18"/>
        <v>-8</v>
      </c>
      <c r="AL9" s="27">
        <f t="shared" si="19"/>
        <v>-8</v>
      </c>
      <c r="AM9" s="23">
        <f t="shared" si="20"/>
        <v>39.81205847</v>
      </c>
      <c r="AN9" s="33" t="s">
        <v>26</v>
      </c>
      <c r="AR9" s="31">
        <v>3.0</v>
      </c>
      <c r="AS9" s="20">
        <v>-26.114</v>
      </c>
      <c r="AT9" s="20">
        <v>15.359</v>
      </c>
      <c r="AU9" s="20">
        <v>-3.636</v>
      </c>
      <c r="AV9" s="21">
        <f t="shared" si="21"/>
        <v>30.29587228</v>
      </c>
      <c r="AW9" s="22">
        <v>151.0</v>
      </c>
      <c r="AX9" s="22">
        <v>-32.0</v>
      </c>
      <c r="AY9" s="22">
        <v>14.0</v>
      </c>
      <c r="AZ9" s="23">
        <f t="shared" si="22"/>
        <v>154.3534904</v>
      </c>
      <c r="BA9" s="24">
        <f t="shared" si="23"/>
        <v>-26.114</v>
      </c>
      <c r="BB9" s="25">
        <f t="shared" si="24"/>
        <v>15.359</v>
      </c>
      <c r="BC9" s="25">
        <f t="shared" si="25"/>
        <v>-3.636</v>
      </c>
      <c r="BD9" s="21">
        <f t="shared" si="26"/>
        <v>30.29587228</v>
      </c>
      <c r="BE9" s="26">
        <f t="shared" si="27"/>
        <v>151</v>
      </c>
      <c r="BF9" s="27">
        <f t="shared" si="28"/>
        <v>-32</v>
      </c>
      <c r="BG9" s="27">
        <f t="shared" si="29"/>
        <v>14</v>
      </c>
      <c r="BH9" s="23">
        <f t="shared" si="30"/>
        <v>154.3534904</v>
      </c>
      <c r="BI9" s="33" t="s">
        <v>27</v>
      </c>
      <c r="BM9" s="31">
        <v>3.0</v>
      </c>
      <c r="BN9" s="30">
        <v>-8.163</v>
      </c>
      <c r="BO9" s="30">
        <v>0.277</v>
      </c>
      <c r="BP9" s="30">
        <v>-3.564</v>
      </c>
      <c r="BQ9" s="23">
        <f t="shared" si="31"/>
        <v>8.167698452</v>
      </c>
      <c r="BR9" s="30">
        <v>-102.0</v>
      </c>
      <c r="BS9" s="30">
        <v>-3.0</v>
      </c>
      <c r="BT9" s="30">
        <v>-8.0</v>
      </c>
      <c r="BU9" s="23">
        <f t="shared" si="32"/>
        <v>102.0441081</v>
      </c>
      <c r="BV9" s="24">
        <f t="shared" si="33"/>
        <v>-8.163</v>
      </c>
      <c r="BW9" s="25">
        <f t="shared" si="34"/>
        <v>0.277</v>
      </c>
      <c r="BX9" s="25">
        <f t="shared" si="35"/>
        <v>-3.564</v>
      </c>
      <c r="BY9" s="21">
        <f t="shared" si="36"/>
        <v>8.167698452</v>
      </c>
      <c r="BZ9" s="26">
        <f t="shared" si="37"/>
        <v>-102</v>
      </c>
      <c r="CA9" s="27">
        <f t="shared" si="38"/>
        <v>-3</v>
      </c>
      <c r="CB9" s="27">
        <f t="shared" si="39"/>
        <v>-8</v>
      </c>
      <c r="CC9" s="23">
        <f t="shared" si="40"/>
        <v>102.0441081</v>
      </c>
      <c r="CD9" s="33" t="s">
        <v>28</v>
      </c>
    </row>
    <row r="10">
      <c r="A10" s="34"/>
      <c r="B10" s="35" t="s">
        <v>29</v>
      </c>
      <c r="C10" s="36">
        <f t="shared" ref="C10:S10" si="41">AVERAGE(C7:C9)</f>
        <v>999.7913333</v>
      </c>
      <c r="D10" s="36">
        <f t="shared" si="41"/>
        <v>-11.846</v>
      </c>
      <c r="E10" s="36">
        <f t="shared" si="41"/>
        <v>-0.6786666667</v>
      </c>
      <c r="F10" s="36">
        <f t="shared" si="41"/>
        <v>999.8630546</v>
      </c>
      <c r="G10" s="37">
        <f t="shared" si="41"/>
        <v>983.3333333</v>
      </c>
      <c r="H10" s="37">
        <f t="shared" si="41"/>
        <v>-20.33333333</v>
      </c>
      <c r="I10" s="37">
        <f t="shared" si="41"/>
        <v>-3</v>
      </c>
      <c r="J10" s="37">
        <f t="shared" si="41"/>
        <v>983.5456726</v>
      </c>
      <c r="K10" s="36">
        <f t="shared" si="41"/>
        <v>-0.2086666667</v>
      </c>
      <c r="L10" s="36">
        <f t="shared" si="41"/>
        <v>-11.846</v>
      </c>
      <c r="M10" s="36">
        <f t="shared" si="41"/>
        <v>-0.6786666667</v>
      </c>
      <c r="N10" s="36">
        <f t="shared" si="41"/>
        <v>11.8718437</v>
      </c>
      <c r="O10" s="37">
        <f t="shared" si="41"/>
        <v>-16.66666667</v>
      </c>
      <c r="P10" s="37">
        <f t="shared" si="41"/>
        <v>-20.33333333</v>
      </c>
      <c r="Q10" s="37">
        <f t="shared" si="41"/>
        <v>-3</v>
      </c>
      <c r="R10" s="37">
        <f t="shared" si="41"/>
        <v>26.35218114</v>
      </c>
      <c r="S10" s="19">
        <f t="shared" si="41"/>
        <v>39</v>
      </c>
      <c r="V10" s="34"/>
      <c r="W10" s="35" t="s">
        <v>29</v>
      </c>
      <c r="X10" s="36">
        <f t="shared" ref="X10:AN10" si="42">AVERAGE(X7:X9)</f>
        <v>-3.786</v>
      </c>
      <c r="Y10" s="36">
        <f t="shared" si="42"/>
        <v>-0.3503333333</v>
      </c>
      <c r="Z10" s="36">
        <f t="shared" si="42"/>
        <v>0.1856666667</v>
      </c>
      <c r="AA10" s="36">
        <f t="shared" si="42"/>
        <v>3.806187839</v>
      </c>
      <c r="AB10" s="37">
        <f t="shared" si="42"/>
        <v>21.33333333</v>
      </c>
      <c r="AC10" s="37">
        <f t="shared" si="42"/>
        <v>-8</v>
      </c>
      <c r="AD10" s="37">
        <f t="shared" si="42"/>
        <v>-3.666666667</v>
      </c>
      <c r="AE10" s="37">
        <f t="shared" si="42"/>
        <v>23.36726607</v>
      </c>
      <c r="AF10" s="36">
        <f t="shared" si="42"/>
        <v>-3.786</v>
      </c>
      <c r="AG10" s="36">
        <f t="shared" si="42"/>
        <v>-0.3503333333</v>
      </c>
      <c r="AH10" s="36">
        <f t="shared" si="42"/>
        <v>0.1856666667</v>
      </c>
      <c r="AI10" s="36">
        <f t="shared" si="42"/>
        <v>3.806187839</v>
      </c>
      <c r="AJ10" s="37">
        <f t="shared" si="42"/>
        <v>21.33333333</v>
      </c>
      <c r="AK10" s="37">
        <f t="shared" si="42"/>
        <v>-8</v>
      </c>
      <c r="AL10" s="37">
        <f t="shared" si="42"/>
        <v>-3.666666667</v>
      </c>
      <c r="AM10" s="37">
        <f t="shared" si="42"/>
        <v>23.36726607</v>
      </c>
      <c r="AN10" s="19">
        <f t="shared" si="42"/>
        <v>78</v>
      </c>
      <c r="AQ10" s="34"/>
      <c r="AR10" s="35" t="s">
        <v>29</v>
      </c>
      <c r="AS10" s="36">
        <f t="shared" ref="AS10:BI10" si="43">AVERAGE(AS7:AS9)</f>
        <v>-24.51</v>
      </c>
      <c r="AT10" s="36">
        <f t="shared" si="43"/>
        <v>15.86166667</v>
      </c>
      <c r="AU10" s="36">
        <f t="shared" si="43"/>
        <v>-3.466333333</v>
      </c>
      <c r="AV10" s="36">
        <f t="shared" si="43"/>
        <v>29.61363748</v>
      </c>
      <c r="AW10" s="37">
        <f t="shared" si="43"/>
        <v>123.3333333</v>
      </c>
      <c r="AX10" s="37">
        <f t="shared" si="43"/>
        <v>-31.33333333</v>
      </c>
      <c r="AY10" s="37">
        <f t="shared" si="43"/>
        <v>14</v>
      </c>
      <c r="AZ10" s="37">
        <f t="shared" si="43"/>
        <v>127.4191832</v>
      </c>
      <c r="BA10" s="36">
        <f t="shared" si="43"/>
        <v>-24.51</v>
      </c>
      <c r="BB10" s="36">
        <f t="shared" si="43"/>
        <v>15.86166667</v>
      </c>
      <c r="BC10" s="36">
        <f t="shared" si="43"/>
        <v>-3.466333333</v>
      </c>
      <c r="BD10" s="36">
        <f t="shared" si="43"/>
        <v>29.61363748</v>
      </c>
      <c r="BE10" s="37">
        <f t="shared" si="43"/>
        <v>123.3333333</v>
      </c>
      <c r="BF10" s="37">
        <f t="shared" si="43"/>
        <v>-31.33333333</v>
      </c>
      <c r="BG10" s="37">
        <f t="shared" si="43"/>
        <v>14</v>
      </c>
      <c r="BH10" s="37">
        <f t="shared" si="43"/>
        <v>127.4191832</v>
      </c>
      <c r="BI10" s="19">
        <f t="shared" si="43"/>
        <v>108</v>
      </c>
      <c r="BL10" s="34"/>
      <c r="BM10" s="35" t="s">
        <v>29</v>
      </c>
      <c r="BN10" s="36">
        <f t="shared" ref="BN10:CD10" si="44">AVERAGE(BN7:BN9)</f>
        <v>-7.108333333</v>
      </c>
      <c r="BO10" s="36">
        <f t="shared" si="44"/>
        <v>0.3216666667</v>
      </c>
      <c r="BP10" s="36">
        <f t="shared" si="44"/>
        <v>-2.828333333</v>
      </c>
      <c r="BQ10" s="36">
        <f t="shared" si="44"/>
        <v>7.116909367</v>
      </c>
      <c r="BR10" s="37">
        <f t="shared" si="44"/>
        <v>-103.3333333</v>
      </c>
      <c r="BS10" s="37">
        <f t="shared" si="44"/>
        <v>-4.666666667</v>
      </c>
      <c r="BT10" s="37">
        <f t="shared" si="44"/>
        <v>-9</v>
      </c>
      <c r="BU10" s="37">
        <f t="shared" si="44"/>
        <v>103.4632248</v>
      </c>
      <c r="BV10" s="36">
        <f t="shared" si="44"/>
        <v>-7.108333333</v>
      </c>
      <c r="BW10" s="36">
        <f t="shared" si="44"/>
        <v>0.3216666667</v>
      </c>
      <c r="BX10" s="36">
        <f t="shared" si="44"/>
        <v>-2.828333333</v>
      </c>
      <c r="BY10" s="36">
        <f t="shared" si="44"/>
        <v>7.116909367</v>
      </c>
      <c r="BZ10" s="37">
        <f t="shared" si="44"/>
        <v>-103.3333333</v>
      </c>
      <c r="CA10" s="37">
        <f t="shared" si="44"/>
        <v>-4.666666667</v>
      </c>
      <c r="CB10" s="37">
        <f t="shared" si="44"/>
        <v>-9</v>
      </c>
      <c r="CC10" s="37">
        <f t="shared" si="44"/>
        <v>103.4632248</v>
      </c>
      <c r="CD10" s="19">
        <f t="shared" si="44"/>
        <v>82</v>
      </c>
    </row>
    <row r="11">
      <c r="A11" s="31"/>
      <c r="B11" s="35" t="s">
        <v>30</v>
      </c>
      <c r="C11" s="21">
        <f t="shared" ref="C11:S11" si="45">MAX(C7:C9)</f>
        <v>1000.784</v>
      </c>
      <c r="D11" s="21">
        <f t="shared" si="45"/>
        <v>-10.544</v>
      </c>
      <c r="E11" s="21">
        <f t="shared" si="45"/>
        <v>-0.509</v>
      </c>
      <c r="F11" s="21">
        <f t="shared" si="45"/>
        <v>1000.840836</v>
      </c>
      <c r="G11" s="23">
        <f t="shared" si="45"/>
        <v>985</v>
      </c>
      <c r="H11" s="23">
        <f t="shared" si="45"/>
        <v>-18</v>
      </c>
      <c r="I11" s="23">
        <f t="shared" si="45"/>
        <v>-3</v>
      </c>
      <c r="J11" s="23">
        <f t="shared" si="45"/>
        <v>985.2030248</v>
      </c>
      <c r="K11" s="21">
        <f t="shared" si="45"/>
        <v>0.784</v>
      </c>
      <c r="L11" s="21">
        <f t="shared" si="45"/>
        <v>-10.544</v>
      </c>
      <c r="M11" s="21">
        <f t="shared" si="45"/>
        <v>-0.509</v>
      </c>
      <c r="N11" s="21">
        <f t="shared" si="45"/>
        <v>14.33617243</v>
      </c>
      <c r="O11" s="23">
        <f t="shared" si="45"/>
        <v>-15</v>
      </c>
      <c r="P11" s="23">
        <f t="shared" si="45"/>
        <v>-18</v>
      </c>
      <c r="Q11" s="23">
        <f t="shared" si="45"/>
        <v>-3</v>
      </c>
      <c r="R11" s="23">
        <f t="shared" si="45"/>
        <v>28.60069929</v>
      </c>
      <c r="S11" s="19">
        <f t="shared" si="45"/>
        <v>41</v>
      </c>
      <c r="V11" s="31"/>
      <c r="W11" s="35" t="s">
        <v>30</v>
      </c>
      <c r="X11" s="21">
        <f t="shared" ref="X11:AN11" si="46">MAX(X7:X9)</f>
        <v>-3.661</v>
      </c>
      <c r="Y11" s="21">
        <f t="shared" si="46"/>
        <v>-0.114</v>
      </c>
      <c r="Z11" s="21">
        <f t="shared" si="46"/>
        <v>0.242</v>
      </c>
      <c r="AA11" s="21">
        <f t="shared" si="46"/>
        <v>3.937650569</v>
      </c>
      <c r="AB11" s="23">
        <f t="shared" si="46"/>
        <v>39</v>
      </c>
      <c r="AC11" s="23">
        <f t="shared" si="46"/>
        <v>-3</v>
      </c>
      <c r="AD11" s="23">
        <f t="shared" si="46"/>
        <v>2</v>
      </c>
      <c r="AE11" s="23">
        <f t="shared" si="46"/>
        <v>39.81205847</v>
      </c>
      <c r="AF11" s="21">
        <f t="shared" si="46"/>
        <v>-3.661</v>
      </c>
      <c r="AG11" s="21">
        <f t="shared" si="46"/>
        <v>-0.114</v>
      </c>
      <c r="AH11" s="21">
        <f t="shared" si="46"/>
        <v>0.242</v>
      </c>
      <c r="AI11" s="21">
        <f t="shared" si="46"/>
        <v>3.937650569</v>
      </c>
      <c r="AJ11" s="23">
        <f t="shared" si="46"/>
        <v>39</v>
      </c>
      <c r="AK11" s="23">
        <f t="shared" si="46"/>
        <v>-3</v>
      </c>
      <c r="AL11" s="23">
        <f t="shared" si="46"/>
        <v>2</v>
      </c>
      <c r="AM11" s="23">
        <f t="shared" si="46"/>
        <v>39.81205847</v>
      </c>
      <c r="AN11" s="19">
        <f t="shared" si="46"/>
        <v>78</v>
      </c>
      <c r="AQ11" s="31"/>
      <c r="AR11" s="35" t="s">
        <v>30</v>
      </c>
      <c r="AS11" s="21">
        <f t="shared" ref="AS11:BI11" si="47">MAX(AS7:AS9)</f>
        <v>-19.126</v>
      </c>
      <c r="AT11" s="21">
        <f t="shared" si="47"/>
        <v>20.161</v>
      </c>
      <c r="AU11" s="21">
        <f t="shared" si="47"/>
        <v>-3.127</v>
      </c>
      <c r="AV11" s="21">
        <f t="shared" si="47"/>
        <v>30.75529751</v>
      </c>
      <c r="AW11" s="23">
        <f t="shared" si="47"/>
        <v>173</v>
      </c>
      <c r="AX11" s="23">
        <f t="shared" si="47"/>
        <v>-18</v>
      </c>
      <c r="AY11" s="23">
        <f t="shared" si="47"/>
        <v>16</v>
      </c>
      <c r="AZ11" s="23">
        <f t="shared" si="47"/>
        <v>178.5077029</v>
      </c>
      <c r="BA11" s="21">
        <f t="shared" si="47"/>
        <v>-19.126</v>
      </c>
      <c r="BB11" s="21">
        <f t="shared" si="47"/>
        <v>20.161</v>
      </c>
      <c r="BC11" s="21">
        <f t="shared" si="47"/>
        <v>-3.127</v>
      </c>
      <c r="BD11" s="21">
        <f t="shared" si="47"/>
        <v>30.75529751</v>
      </c>
      <c r="BE11" s="23">
        <f t="shared" si="47"/>
        <v>173</v>
      </c>
      <c r="BF11" s="23">
        <f t="shared" si="47"/>
        <v>-18</v>
      </c>
      <c r="BG11" s="23">
        <f t="shared" si="47"/>
        <v>16</v>
      </c>
      <c r="BH11" s="23">
        <f t="shared" si="47"/>
        <v>178.5077029</v>
      </c>
      <c r="BI11" s="19">
        <f t="shared" si="47"/>
        <v>108</v>
      </c>
      <c r="BL11" s="31"/>
      <c r="BM11" s="35" t="s">
        <v>30</v>
      </c>
      <c r="BN11" s="21">
        <f t="shared" ref="BN11:CD11" si="48">MAX(BN7:BN9)</f>
        <v>-6.276</v>
      </c>
      <c r="BO11" s="21">
        <f t="shared" si="48"/>
        <v>0.502</v>
      </c>
      <c r="BP11" s="21">
        <f t="shared" si="48"/>
        <v>-2.206</v>
      </c>
      <c r="BQ11" s="21">
        <f t="shared" si="48"/>
        <v>8.167698452</v>
      </c>
      <c r="BR11" s="23">
        <f t="shared" si="48"/>
        <v>-102</v>
      </c>
      <c r="BS11" s="23">
        <f t="shared" si="48"/>
        <v>-3</v>
      </c>
      <c r="BT11" s="23">
        <f t="shared" si="48"/>
        <v>-8</v>
      </c>
      <c r="BU11" s="23">
        <f t="shared" si="48"/>
        <v>106.3014581</v>
      </c>
      <c r="BV11" s="21">
        <f t="shared" si="48"/>
        <v>-6.276</v>
      </c>
      <c r="BW11" s="21">
        <f t="shared" si="48"/>
        <v>0.502</v>
      </c>
      <c r="BX11" s="21">
        <f t="shared" si="48"/>
        <v>-2.206</v>
      </c>
      <c r="BY11" s="21">
        <f t="shared" si="48"/>
        <v>8.167698452</v>
      </c>
      <c r="BZ11" s="23">
        <f t="shared" si="48"/>
        <v>-102</v>
      </c>
      <c r="CA11" s="23">
        <f t="shared" si="48"/>
        <v>-3</v>
      </c>
      <c r="CB11" s="23">
        <f t="shared" si="48"/>
        <v>-8</v>
      </c>
      <c r="CC11" s="23">
        <f t="shared" si="48"/>
        <v>106.3014581</v>
      </c>
      <c r="CD11" s="19">
        <f t="shared" si="48"/>
        <v>82</v>
      </c>
    </row>
    <row r="12">
      <c r="A12" s="31"/>
      <c r="B12" s="35" t="s">
        <v>31</v>
      </c>
      <c r="C12" s="21">
        <f t="shared" ref="C12:S12" si="49">MIN(C7:C9)</f>
        <v>999.074</v>
      </c>
      <c r="D12" s="21">
        <f t="shared" si="49"/>
        <v>-14.328</v>
      </c>
      <c r="E12" s="21">
        <f t="shared" si="49"/>
        <v>-0.848</v>
      </c>
      <c r="F12" s="21">
        <f t="shared" si="49"/>
        <v>999.1296379</v>
      </c>
      <c r="G12" s="23">
        <f t="shared" si="49"/>
        <v>982</v>
      </c>
      <c r="H12" s="23">
        <f t="shared" si="49"/>
        <v>-23</v>
      </c>
      <c r="I12" s="23">
        <f t="shared" si="49"/>
        <v>-3</v>
      </c>
      <c r="J12" s="23">
        <f t="shared" si="49"/>
        <v>982.1649556</v>
      </c>
      <c r="K12" s="21">
        <f t="shared" si="49"/>
        <v>-0.926</v>
      </c>
      <c r="L12" s="21">
        <f t="shared" si="49"/>
        <v>-14.328</v>
      </c>
      <c r="M12" s="21">
        <f t="shared" si="49"/>
        <v>-0.848</v>
      </c>
      <c r="N12" s="21">
        <f t="shared" si="49"/>
        <v>10.5845837</v>
      </c>
      <c r="O12" s="23">
        <f t="shared" si="49"/>
        <v>-18</v>
      </c>
      <c r="P12" s="23">
        <f t="shared" si="49"/>
        <v>-23</v>
      </c>
      <c r="Q12" s="23">
        <f t="shared" si="49"/>
        <v>-3</v>
      </c>
      <c r="R12" s="23">
        <f t="shared" si="49"/>
        <v>25</v>
      </c>
      <c r="S12" s="19">
        <f t="shared" si="49"/>
        <v>37</v>
      </c>
      <c r="V12" s="31"/>
      <c r="W12" s="35" t="s">
        <v>31</v>
      </c>
      <c r="X12" s="21">
        <f t="shared" ref="X12:AN12" si="50">MIN(X7:X9)</f>
        <v>-3.936</v>
      </c>
      <c r="Y12" s="21">
        <f t="shared" si="50"/>
        <v>-0.476</v>
      </c>
      <c r="Z12" s="21">
        <f t="shared" si="50"/>
        <v>0.073</v>
      </c>
      <c r="AA12" s="21">
        <f t="shared" si="50"/>
        <v>3.689910839</v>
      </c>
      <c r="AB12" s="23">
        <f t="shared" si="50"/>
        <v>10</v>
      </c>
      <c r="AC12" s="23">
        <f t="shared" si="50"/>
        <v>-13</v>
      </c>
      <c r="AD12" s="23">
        <f t="shared" si="50"/>
        <v>-8</v>
      </c>
      <c r="AE12" s="23">
        <f t="shared" si="50"/>
        <v>10.44030651</v>
      </c>
      <c r="AF12" s="21">
        <f t="shared" si="50"/>
        <v>-3.936</v>
      </c>
      <c r="AG12" s="21">
        <f t="shared" si="50"/>
        <v>-0.476</v>
      </c>
      <c r="AH12" s="21">
        <f t="shared" si="50"/>
        <v>0.073</v>
      </c>
      <c r="AI12" s="21">
        <f t="shared" si="50"/>
        <v>3.689910839</v>
      </c>
      <c r="AJ12" s="23">
        <f t="shared" si="50"/>
        <v>10</v>
      </c>
      <c r="AK12" s="23">
        <f t="shared" si="50"/>
        <v>-13</v>
      </c>
      <c r="AL12" s="23">
        <f t="shared" si="50"/>
        <v>-8</v>
      </c>
      <c r="AM12" s="23">
        <f t="shared" si="50"/>
        <v>10.44030651</v>
      </c>
      <c r="AN12" s="19">
        <f t="shared" si="50"/>
        <v>78</v>
      </c>
      <c r="AQ12" s="31"/>
      <c r="AR12" s="35" t="s">
        <v>31</v>
      </c>
      <c r="AS12" s="21">
        <f t="shared" ref="AS12:BI12" si="51">MIN(AS7:AS9)</f>
        <v>-28.29</v>
      </c>
      <c r="AT12" s="21">
        <f t="shared" si="51"/>
        <v>12.065</v>
      </c>
      <c r="AU12" s="21">
        <f t="shared" si="51"/>
        <v>-3.636</v>
      </c>
      <c r="AV12" s="21">
        <f t="shared" si="51"/>
        <v>27.78974266</v>
      </c>
      <c r="AW12" s="23">
        <f t="shared" si="51"/>
        <v>46</v>
      </c>
      <c r="AX12" s="23">
        <f t="shared" si="51"/>
        <v>-44</v>
      </c>
      <c r="AY12" s="23">
        <f t="shared" si="51"/>
        <v>12</v>
      </c>
      <c r="AZ12" s="23">
        <f t="shared" si="51"/>
        <v>49.39635614</v>
      </c>
      <c r="BA12" s="21">
        <f t="shared" si="51"/>
        <v>-28.29</v>
      </c>
      <c r="BB12" s="21">
        <f t="shared" si="51"/>
        <v>12.065</v>
      </c>
      <c r="BC12" s="21">
        <f t="shared" si="51"/>
        <v>-3.636</v>
      </c>
      <c r="BD12" s="21">
        <f t="shared" si="51"/>
        <v>27.78974266</v>
      </c>
      <c r="BE12" s="23">
        <f t="shared" si="51"/>
        <v>46</v>
      </c>
      <c r="BF12" s="23">
        <f t="shared" si="51"/>
        <v>-44</v>
      </c>
      <c r="BG12" s="23">
        <f t="shared" si="51"/>
        <v>12</v>
      </c>
      <c r="BH12" s="23">
        <f t="shared" si="51"/>
        <v>49.39635614</v>
      </c>
      <c r="BI12" s="19">
        <f t="shared" si="51"/>
        <v>108</v>
      </c>
      <c r="BL12" s="31"/>
      <c r="BM12" s="35" t="s">
        <v>31</v>
      </c>
      <c r="BN12" s="21">
        <f t="shared" ref="BN12:CD12" si="52">MIN(BN7:BN9)</f>
        <v>-8.163</v>
      </c>
      <c r="BO12" s="21">
        <f t="shared" si="52"/>
        <v>0.186</v>
      </c>
      <c r="BP12" s="21">
        <f t="shared" si="52"/>
        <v>-3.564</v>
      </c>
      <c r="BQ12" s="21">
        <f t="shared" si="52"/>
        <v>6.278755609</v>
      </c>
      <c r="BR12" s="23">
        <f t="shared" si="52"/>
        <v>-106</v>
      </c>
      <c r="BS12" s="23">
        <f t="shared" si="52"/>
        <v>-8</v>
      </c>
      <c r="BT12" s="23">
        <f t="shared" si="52"/>
        <v>-10</v>
      </c>
      <c r="BU12" s="23">
        <f t="shared" si="52"/>
        <v>102.0441081</v>
      </c>
      <c r="BV12" s="21">
        <f t="shared" si="52"/>
        <v>-8.163</v>
      </c>
      <c r="BW12" s="21">
        <f t="shared" si="52"/>
        <v>0.186</v>
      </c>
      <c r="BX12" s="21">
        <f t="shared" si="52"/>
        <v>-3.564</v>
      </c>
      <c r="BY12" s="21">
        <f t="shared" si="52"/>
        <v>6.278755609</v>
      </c>
      <c r="BZ12" s="23">
        <f t="shared" si="52"/>
        <v>-106</v>
      </c>
      <c r="CA12" s="23">
        <f t="shared" si="52"/>
        <v>-8</v>
      </c>
      <c r="CB12" s="23">
        <f t="shared" si="52"/>
        <v>-10</v>
      </c>
      <c r="CC12" s="23">
        <f t="shared" si="52"/>
        <v>102.0441081</v>
      </c>
      <c r="CD12" s="19">
        <f t="shared" si="52"/>
        <v>82</v>
      </c>
    </row>
    <row r="13">
      <c r="A13" s="31"/>
      <c r="B13" s="34"/>
      <c r="C13" s="34"/>
      <c r="D13" s="34"/>
      <c r="E13" s="34"/>
      <c r="G13" s="38"/>
      <c r="H13" s="34"/>
      <c r="I13" s="39"/>
      <c r="J13" s="39"/>
      <c r="K13" s="39"/>
      <c r="L13" s="39"/>
      <c r="M13" s="39"/>
      <c r="N13" s="39"/>
      <c r="O13" s="39"/>
      <c r="P13" s="39"/>
      <c r="Q13" s="39"/>
    </row>
    <row r="14">
      <c r="A14" s="40"/>
      <c r="B14" s="41"/>
      <c r="C14" s="41"/>
      <c r="D14" s="41"/>
      <c r="E14" s="41"/>
      <c r="F14" s="41"/>
      <c r="G14" s="41"/>
      <c r="H14" s="34"/>
      <c r="I14" s="39"/>
      <c r="J14" s="39"/>
      <c r="K14" s="39"/>
      <c r="L14" s="39"/>
      <c r="M14" s="39"/>
      <c r="N14" s="39"/>
      <c r="O14" s="39"/>
      <c r="P14" s="39"/>
      <c r="Q14" s="39"/>
    </row>
    <row r="15">
      <c r="A15" s="19"/>
      <c r="B15" s="42"/>
      <c r="D15" s="42"/>
      <c r="E15" s="42"/>
      <c r="F15" s="42"/>
      <c r="G15" s="42"/>
      <c r="H15" s="34"/>
      <c r="I15" s="39"/>
      <c r="J15" s="39"/>
      <c r="K15" s="39"/>
      <c r="L15" s="39"/>
      <c r="M15" s="39"/>
      <c r="N15" s="39"/>
      <c r="O15" s="39"/>
      <c r="P15" s="39"/>
      <c r="Q15" s="39"/>
    </row>
    <row r="16">
      <c r="A16" s="19"/>
      <c r="B16" s="34"/>
      <c r="D16" s="34"/>
      <c r="E16" s="34"/>
      <c r="F16" s="34"/>
      <c r="G16" s="34"/>
      <c r="H16" s="34"/>
      <c r="I16" s="39"/>
      <c r="J16" s="39"/>
      <c r="K16" s="39"/>
      <c r="L16" s="39"/>
      <c r="M16" s="39"/>
      <c r="N16" s="39"/>
      <c r="O16" s="39"/>
      <c r="P16" s="39"/>
      <c r="Q16" s="39"/>
    </row>
    <row r="17">
      <c r="A17" s="31"/>
      <c r="B17" s="34"/>
      <c r="D17" s="34"/>
      <c r="E17" s="34"/>
      <c r="F17" s="34"/>
      <c r="G17" s="34"/>
      <c r="H17" s="34"/>
      <c r="I17" s="39"/>
      <c r="M17" s="39"/>
      <c r="N17" s="39"/>
      <c r="O17" s="39"/>
      <c r="P17" s="39"/>
      <c r="Q17" s="39"/>
    </row>
    <row r="18">
      <c r="A18" s="31"/>
      <c r="B18" s="34"/>
      <c r="D18" s="34"/>
      <c r="E18" s="34"/>
      <c r="F18" s="34"/>
      <c r="G18" s="34"/>
      <c r="H18" s="34"/>
      <c r="I18" s="39"/>
      <c r="M18" s="39"/>
      <c r="N18" s="39"/>
      <c r="O18" s="39"/>
      <c r="P18" s="39"/>
      <c r="Q18" s="39"/>
    </row>
    <row r="19">
      <c r="I19" s="39"/>
      <c r="M19" s="39"/>
      <c r="N19" s="39"/>
      <c r="O19" s="39"/>
      <c r="P19" s="39"/>
      <c r="Q19" s="39"/>
    </row>
  </sheetData>
  <mergeCells count="64">
    <mergeCell ref="CD6:CE6"/>
    <mergeCell ref="CD7:CE7"/>
    <mergeCell ref="BI5:BJ5"/>
    <mergeCell ref="BN5:BQ5"/>
    <mergeCell ref="BR5:BU5"/>
    <mergeCell ref="BV5:BY5"/>
    <mergeCell ref="BZ5:CC5"/>
    <mergeCell ref="CD5:CE5"/>
    <mergeCell ref="BI7:BJ7"/>
    <mergeCell ref="CD10:CE10"/>
    <mergeCell ref="CD11:CE11"/>
    <mergeCell ref="BI6:BJ6"/>
    <mergeCell ref="BI8:BJ8"/>
    <mergeCell ref="CD8:CE8"/>
    <mergeCell ref="BI9:BJ9"/>
    <mergeCell ref="CD9:CE9"/>
    <mergeCell ref="BI10:BJ10"/>
    <mergeCell ref="BI11:BJ11"/>
    <mergeCell ref="AU2:BJ3"/>
    <mergeCell ref="BL2:BO2"/>
    <mergeCell ref="A1:T1"/>
    <mergeCell ref="V1:AO1"/>
    <mergeCell ref="AQ1:BJ1"/>
    <mergeCell ref="BL1:CE1"/>
    <mergeCell ref="A2:D2"/>
    <mergeCell ref="E2:T3"/>
    <mergeCell ref="V2:Y2"/>
    <mergeCell ref="BP2:CE3"/>
    <mergeCell ref="X5:AA5"/>
    <mergeCell ref="AB5:AE5"/>
    <mergeCell ref="AF5:AI5"/>
    <mergeCell ref="AJ5:AM5"/>
    <mergeCell ref="AN7:AO7"/>
    <mergeCell ref="AN8:AO8"/>
    <mergeCell ref="AN9:AO9"/>
    <mergeCell ref="AN10:AO10"/>
    <mergeCell ref="AN11:AO11"/>
    <mergeCell ref="AN12:AO12"/>
    <mergeCell ref="Z2:AO3"/>
    <mergeCell ref="AQ2:AT2"/>
    <mergeCell ref="B5:B6"/>
    <mergeCell ref="C5:F5"/>
    <mergeCell ref="G5:J5"/>
    <mergeCell ref="K5:N5"/>
    <mergeCell ref="O5:R5"/>
    <mergeCell ref="AN6:AO6"/>
    <mergeCell ref="AN5:AO5"/>
    <mergeCell ref="AR5:AR6"/>
    <mergeCell ref="AS5:AV5"/>
    <mergeCell ref="AW5:AZ5"/>
    <mergeCell ref="BA5:BD5"/>
    <mergeCell ref="BE5:BH5"/>
    <mergeCell ref="BM5:BM6"/>
    <mergeCell ref="S11:T11"/>
    <mergeCell ref="S12:T12"/>
    <mergeCell ref="BI12:BJ12"/>
    <mergeCell ref="CD12:CE12"/>
    <mergeCell ref="S5:T5"/>
    <mergeCell ref="W5:W6"/>
    <mergeCell ref="S6:T6"/>
    <mergeCell ref="S7:T7"/>
    <mergeCell ref="S8:T8"/>
    <mergeCell ref="S9:T9"/>
    <mergeCell ref="S10:T10"/>
  </mergeCells>
  <drawing r:id="rId1"/>
</worksheet>
</file>