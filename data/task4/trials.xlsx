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4" sheetId="1" r:id="rId5"/>
  </sheets>
  <definedNames/>
  <calcPr/>
</workbook>
</file>

<file path=xl/sharedStrings.xml><?xml version="1.0" encoding="utf-8"?>
<sst xmlns="http://schemas.openxmlformats.org/spreadsheetml/2006/main" count="21" uniqueCount="13">
  <si>
    <t>Dead Reckoning</t>
  </si>
  <si>
    <t>Trial</t>
  </si>
  <si>
    <t>Encoder Pose</t>
  </si>
  <si>
    <t>Emperical Pose</t>
  </si>
  <si>
    <t>Error</t>
  </si>
  <si>
    <t>𝑥 (mm)</t>
  </si>
  <si>
    <t>𝑦 (mm)</t>
  </si>
  <si>
    <t>𝜃 (°)</t>
  </si>
  <si>
    <t>𝑚 (mm)</t>
  </si>
  <si>
    <t>1</t>
  </si>
  <si>
    <t>Avg</t>
  </si>
  <si>
    <t>Max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</si>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</sst>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6">
    <font>
      <sz val="10.0"/>
      <color rgb="FF000000"/>
      <name val="Arial"/>
      <scheme val="minor"/>
    </font>
    <font>
      <color rgb="FFFFFFFF"/>
      <name val="Arial"/>
    </font>
    <font/>
    <font>
      <color theme="1"/>
      <name val="Arial"/>
      <scheme val="minor"/>
    </font>
    <font>
      <color theme="1"/>
      <name val="Arial"/>
    </font>
    <font>
      <color rgb="FF1F1F1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0" fontId="2" numFmtId="0" xfId="0" applyBorder="1" applyFont="1"/>
    <xf borderId="0" fillId="0" fontId="3" numFmtId="49" xfId="0" applyFont="1" applyNumberFormat="1"/>
    <xf borderId="0" fillId="3" fontId="4" numFmtId="49" xfId="0" applyAlignment="1" applyFill="1" applyFont="1" applyNumberFormat="1">
      <alignment horizontal="center" vertical="bottom"/>
    </xf>
    <xf borderId="0" fillId="3" fontId="3" numFmtId="0" xfId="0" applyAlignment="1" applyFill="1" applyFont="1">
      <alignment readingOrder="0"/>
    </xf>
    <xf borderId="0" fillId="4" fontId="4" numFmtId="49" xfId="0" applyAlignment="1" applyFill="1" applyFont="1" applyNumberFormat="1">
      <alignment horizontal="center" readingOrder="0" vertical="bottom"/>
    </xf>
    <xf borderId="0" fillId="3" fontId="4" numFmtId="49" xfId="0" applyAlignment="1" applyFill="1" applyFont="1" applyNumberFormat="1">
      <alignment horizontal="center" readingOrder="0" vertical="bottom"/>
    </xf>
    <xf borderId="0" fillId="5" fontId="4" numFmtId="49" xfId="0" applyAlignment="1" applyFill="1" applyFont="1" applyNumberFormat="1">
      <alignment horizontal="center" readingOrder="0" vertical="bottom"/>
    </xf>
    <xf borderId="0" fillId="0" fontId="4" numFmtId="49" xfId="0" applyAlignment="1" applyFont="1" applyNumberFormat="1">
      <alignment horizontal="right" vertical="bottom"/>
    </xf>
    <xf borderId="0" fillId="6" fontId="4" numFmtId="0" xfId="0" applyAlignment="1" applyFill="1" applyFont="1">
      <alignment readingOrder="0" vertical="bottom"/>
    </xf>
    <xf borderId="0" fillId="0" fontId="3" numFmtId="164" xfId="0" applyFont="1" applyNumberFormat="1"/>
    <xf borderId="0" fillId="0" fontId="3" numFmtId="165" xfId="0" applyFont="1" applyNumberFormat="1"/>
    <xf borderId="0" fillId="0" fontId="4" numFmtId="164" xfId="0" applyAlignment="1" applyFont="1" applyNumberFormat="1">
      <alignment vertical="bottom"/>
    </xf>
    <xf borderId="0" fillId="7" fontId="3" numFmtId="164" xfId="0" applyFill="1" applyFont="1" applyNumberFormat="1"/>
    <xf borderId="0" fillId="0" fontId="4" numFmtId="0" xfId="0" applyAlignment="1" applyFont="1">
      <alignment horizontal="right" vertical="bottom"/>
    </xf>
    <xf borderId="0" fillId="0" fontId="3" numFmtId="0" xfId="0" applyFont="1"/>
    <xf borderId="0" fillId="0" fontId="4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vertical="bottom"/>
    </xf>
    <xf borderId="2" fillId="8" fontId="5" numFmtId="0" xfId="0" applyAlignment="1" applyBorder="1" applyFill="1" applyFont="1">
      <alignment vertical="bottom"/>
    </xf>
    <xf borderId="2" fillId="8" fontId="5" numFmtId="165" xfId="0" applyAlignment="1" applyBorder="1" applyFill="1" applyFont="1" applyNumberFormat="1">
      <alignment vertical="bottom"/>
    </xf>
    <xf borderId="2" fillId="8" fontId="5" numFmtId="49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</row>
    <row r="2">
      <c r="A2" s="4" t="s">
        <v>1</v>
      </c>
      <c r="B2" s="5" t="s">
        <v>2</v>
      </c>
      <c r="F2" s="5" t="s">
        <v>3</v>
      </c>
      <c r="J2" s="5" t="s">
        <v>4</v>
      </c>
    </row>
    <row r="3">
      <c r="B3" s="6" t="s">
        <v>5</v>
      </c>
      <c r="C3" s="6" t="s">
        <v>6</v>
      </c>
      <c r="D3" s="6" t="s">
        <v>7</v>
      </c>
      <c r="E3" s="7" t="s">
        <v>8</v>
      </c>
      <c r="F3" s="6" t="s">
        <v>5</v>
      </c>
      <c r="G3" s="6" t="s">
        <v>6</v>
      </c>
      <c r="H3" s="6" t="s">
        <v>7</v>
      </c>
      <c r="I3" s="7" t="s">
        <v>8</v>
      </c>
      <c r="J3" s="7" t="s">
        <v>5</v>
      </c>
      <c r="K3" s="7" t="s">
        <v>6</v>
      </c>
      <c r="L3" s="8" t="s">
        <v>7</v>
      </c>
      <c r="M3" s="8" t="s">
        <v>8</v>
      </c>
    </row>
    <row r="4">
      <c r="A4" s="9" t="s">
        <v>9</v>
      </c>
      <c r="B4" s="10">
        <v>904.407</v>
      </c>
      <c r="C4" s="10">
        <v>-322.797</v>
      </c>
      <c r="D4" s="10">
        <v>21.648</v>
      </c>
      <c r="E4" s="11">
        <f t="shared" ref="E4:E6" si="2">SQRT(POW(B4,2)+POW(C4,2))</f>
        <v>960.2863765</v>
      </c>
      <c r="F4" s="10">
        <v>880.0</v>
      </c>
      <c r="G4" s="10">
        <v>-246.0</v>
      </c>
      <c r="H4" s="10">
        <v>46.0</v>
      </c>
      <c r="I4" s="12">
        <f t="shared" ref="I4:I6" si="3">SQRT(POW(F4,2)+POW(G4,2))</f>
        <v>913.7373802</v>
      </c>
      <c r="J4" s="13">
        <f t="shared" ref="J4:L4" si="1">(B4-F4)</f>
        <v>24.407</v>
      </c>
      <c r="K4" s="11">
        <f t="shared" si="1"/>
        <v>-76.797</v>
      </c>
      <c r="L4" s="14">
        <f t="shared" si="1"/>
        <v>-24.352</v>
      </c>
      <c r="M4" s="14">
        <f t="shared" ref="M4:M6" si="5">SQRT(POW(J4,2)+POW(K4,2))</f>
        <v>80.58213734</v>
      </c>
    </row>
    <row r="5">
      <c r="A5" s="15">
        <v>2.0</v>
      </c>
      <c r="B5" s="10">
        <v>905.915</v>
      </c>
      <c r="C5" s="10">
        <v>-329.53</v>
      </c>
      <c r="D5" s="10">
        <v>19.442</v>
      </c>
      <c r="E5" s="11">
        <f t="shared" si="2"/>
        <v>963.987556</v>
      </c>
      <c r="F5" s="10">
        <v>882.0</v>
      </c>
      <c r="G5" s="10">
        <v>-265.0</v>
      </c>
      <c r="H5" s="10">
        <v>45.0</v>
      </c>
      <c r="I5" s="12">
        <f t="shared" si="3"/>
        <v>920.9500529</v>
      </c>
      <c r="J5" s="13">
        <f t="shared" ref="J5:L5" si="4">(B5-F5)</f>
        <v>23.915</v>
      </c>
      <c r="K5" s="11">
        <f t="shared" si="4"/>
        <v>-64.53</v>
      </c>
      <c r="L5" s="14">
        <f t="shared" si="4"/>
        <v>-25.558</v>
      </c>
      <c r="M5" s="14">
        <f t="shared" si="5"/>
        <v>68.81895179</v>
      </c>
      <c r="O5" s="16"/>
      <c r="P5" s="16"/>
      <c r="Q5" s="16"/>
      <c r="R5" s="16"/>
      <c r="S5" s="16"/>
      <c r="T5" s="16"/>
    </row>
    <row r="6">
      <c r="A6" s="15">
        <v>3.0</v>
      </c>
      <c r="B6" s="10">
        <v>911.553</v>
      </c>
      <c r="C6" s="10">
        <v>-303.559</v>
      </c>
      <c r="D6" s="10">
        <v>21.988</v>
      </c>
      <c r="E6" s="11">
        <f t="shared" si="2"/>
        <v>960.7689307</v>
      </c>
      <c r="F6" s="10">
        <v>883.0</v>
      </c>
      <c r="G6" s="10">
        <v>-236.0</v>
      </c>
      <c r="H6" s="10">
        <v>43.0</v>
      </c>
      <c r="I6" s="12">
        <f t="shared" si="3"/>
        <v>913.9939825</v>
      </c>
      <c r="J6" s="13">
        <f t="shared" ref="J6:L6" si="6">(B6-F6)</f>
        <v>28.553</v>
      </c>
      <c r="K6" s="11">
        <f t="shared" si="6"/>
        <v>-67.559</v>
      </c>
      <c r="L6" s="14">
        <f t="shared" si="6"/>
        <v>-21.012</v>
      </c>
      <c r="M6" s="14">
        <f t="shared" si="5"/>
        <v>73.34502226</v>
      </c>
      <c r="O6" s="3"/>
      <c r="P6" s="3"/>
      <c r="Q6" s="3"/>
      <c r="R6" s="3"/>
      <c r="S6" s="3"/>
      <c r="T6" s="3"/>
    </row>
    <row r="7">
      <c r="A7" s="17" t="s">
        <v>10</v>
      </c>
      <c r="B7" s="13">
        <f t="shared" ref="B7:M7" si="7">AVERAGE(B4:B6)</f>
        <v>907.2916667</v>
      </c>
      <c r="C7" s="13">
        <f t="shared" si="7"/>
        <v>-318.6286667</v>
      </c>
      <c r="D7" s="13">
        <f t="shared" si="7"/>
        <v>21.026</v>
      </c>
      <c r="E7" s="13">
        <f t="shared" si="7"/>
        <v>961.6809544</v>
      </c>
      <c r="F7" s="18">
        <f t="shared" si="7"/>
        <v>881.6666667</v>
      </c>
      <c r="G7" s="18">
        <f t="shared" si="7"/>
        <v>-249</v>
      </c>
      <c r="H7" s="18">
        <f t="shared" si="7"/>
        <v>44.66666667</v>
      </c>
      <c r="I7" s="18">
        <f t="shared" si="7"/>
        <v>916.2271385</v>
      </c>
      <c r="J7" s="13">
        <f t="shared" si="7"/>
        <v>25.625</v>
      </c>
      <c r="K7" s="13">
        <f t="shared" si="7"/>
        <v>-69.62866667</v>
      </c>
      <c r="L7" s="13">
        <f t="shared" si="7"/>
        <v>-23.64066667</v>
      </c>
      <c r="M7" s="13">
        <f t="shared" si="7"/>
        <v>74.24870379</v>
      </c>
      <c r="O7" s="12"/>
      <c r="P7" s="12"/>
      <c r="Q7" s="12"/>
      <c r="R7" s="12"/>
      <c r="S7" s="16"/>
      <c r="T7" s="16"/>
    </row>
    <row r="8">
      <c r="A8" s="17" t="s">
        <v>11</v>
      </c>
      <c r="B8" s="11">
        <f t="shared" ref="B8:M8" si="8">MAX(B4:B6)</f>
        <v>911.553</v>
      </c>
      <c r="C8" s="11">
        <f t="shared" si="8"/>
        <v>-303.559</v>
      </c>
      <c r="D8" s="11">
        <f t="shared" si="8"/>
        <v>21.988</v>
      </c>
      <c r="E8" s="11">
        <f t="shared" si="8"/>
        <v>963.987556</v>
      </c>
      <c r="F8" s="12">
        <f t="shared" si="8"/>
        <v>883</v>
      </c>
      <c r="G8" s="12">
        <f t="shared" si="8"/>
        <v>-236</v>
      </c>
      <c r="H8" s="12">
        <f t="shared" si="8"/>
        <v>46</v>
      </c>
      <c r="I8" s="12">
        <f t="shared" si="8"/>
        <v>920.9500529</v>
      </c>
      <c r="J8" s="11">
        <f t="shared" si="8"/>
        <v>28.553</v>
      </c>
      <c r="K8" s="11">
        <f t="shared" si="8"/>
        <v>-64.53</v>
      </c>
      <c r="L8" s="11">
        <f t="shared" si="8"/>
        <v>-21.012</v>
      </c>
      <c r="M8" s="11">
        <f t="shared" si="8"/>
        <v>80.58213734</v>
      </c>
      <c r="O8" s="12"/>
      <c r="P8" s="12"/>
      <c r="Q8" s="12"/>
      <c r="R8" s="12"/>
      <c r="S8" s="3"/>
      <c r="T8" s="3"/>
    </row>
    <row r="9">
      <c r="A9" s="17" t="s">
        <v>12</v>
      </c>
      <c r="B9" s="11">
        <f t="shared" ref="B9:M9" si="9">MIN(B4:B6)</f>
        <v>904.407</v>
      </c>
      <c r="C9" s="11">
        <f t="shared" si="9"/>
        <v>-329.53</v>
      </c>
      <c r="D9" s="11">
        <f t="shared" si="9"/>
        <v>19.442</v>
      </c>
      <c r="E9" s="11">
        <f t="shared" si="9"/>
        <v>960.2863765</v>
      </c>
      <c r="F9" s="12">
        <f t="shared" si="9"/>
        <v>880</v>
      </c>
      <c r="G9" s="12">
        <f t="shared" si="9"/>
        <v>-265</v>
      </c>
      <c r="H9" s="12">
        <f t="shared" si="9"/>
        <v>43</v>
      </c>
      <c r="I9" s="12">
        <f t="shared" si="9"/>
        <v>913.7373802</v>
      </c>
      <c r="J9" s="11">
        <f t="shared" si="9"/>
        <v>23.915</v>
      </c>
      <c r="K9" s="11">
        <f t="shared" si="9"/>
        <v>-76.797</v>
      </c>
      <c r="L9" s="11">
        <f t="shared" si="9"/>
        <v>-25.558</v>
      </c>
      <c r="M9" s="11">
        <f t="shared" si="9"/>
        <v>68.81895179</v>
      </c>
      <c r="O9" s="12"/>
      <c r="P9" s="12"/>
      <c r="Q9" s="12"/>
      <c r="R9" s="12"/>
      <c r="S9" s="3"/>
      <c r="T9" s="3"/>
    </row>
    <row r="10">
      <c r="O10" s="12"/>
      <c r="P10" s="12"/>
      <c r="Q10" s="12"/>
      <c r="R10" s="12"/>
      <c r="S10" s="3"/>
      <c r="T10" s="3"/>
    </row>
    <row r="11">
      <c r="O11" s="12"/>
      <c r="P11" s="12"/>
      <c r="Q11" s="12"/>
      <c r="R11" s="12"/>
      <c r="S11" s="3"/>
      <c r="T11" s="3"/>
    </row>
    <row r="12">
      <c r="B12" s="16"/>
      <c r="C12" s="16"/>
      <c r="D12" s="16"/>
      <c r="E12" s="16"/>
      <c r="F12" s="16"/>
      <c r="G12" s="16"/>
      <c r="H12" s="16"/>
      <c r="I12" s="16"/>
      <c r="N12" s="19"/>
      <c r="O12" s="20"/>
      <c r="P12" s="20"/>
      <c r="Q12" s="20"/>
      <c r="R12" s="20"/>
      <c r="S12" s="21"/>
      <c r="T12" s="21"/>
      <c r="U12" s="19"/>
      <c r="V12" s="19"/>
      <c r="W12" s="19"/>
      <c r="X12" s="19"/>
      <c r="Y12" s="19"/>
      <c r="Z12" s="19"/>
      <c r="AA12" s="19"/>
      <c r="AB12" s="19"/>
    </row>
    <row r="13">
      <c r="B13" s="16"/>
      <c r="C13" s="16"/>
      <c r="D13" s="16"/>
      <c r="E13" s="16"/>
      <c r="F13" s="16"/>
      <c r="G13" s="16"/>
      <c r="H13" s="16"/>
      <c r="I13" s="16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B14" s="16"/>
      <c r="C14" s="16"/>
      <c r="D14" s="16"/>
      <c r="E14" s="16"/>
      <c r="F14" s="16"/>
      <c r="G14" s="16"/>
      <c r="H14" s="16"/>
      <c r="I14" s="16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B15" s="16"/>
      <c r="C15" s="16"/>
      <c r="D15" s="16"/>
      <c r="E15" s="16"/>
      <c r="F15" s="16"/>
      <c r="G15" s="16"/>
      <c r="H15" s="16"/>
      <c r="I15" s="16"/>
    </row>
    <row r="19">
      <c r="A19" s="3"/>
      <c r="B19" s="3"/>
      <c r="C19" s="3"/>
      <c r="D19" s="3"/>
      <c r="E19" s="3"/>
      <c r="F19" s="3"/>
      <c r="G19" s="3"/>
    </row>
    <row r="21">
      <c r="A21" s="3"/>
      <c r="B21" s="3"/>
      <c r="C21" s="3"/>
      <c r="D21" s="3"/>
      <c r="E21" s="3"/>
      <c r="F21" s="3"/>
      <c r="G21" s="3"/>
    </row>
    <row r="22">
      <c r="A22" s="3"/>
    </row>
    <row r="24">
      <c r="A24" s="3"/>
      <c r="B24" s="3"/>
      <c r="C24" s="3"/>
      <c r="D24" s="3"/>
      <c r="E24" s="3"/>
      <c r="F24" s="3"/>
      <c r="G24" s="3"/>
    </row>
  </sheetData>
  <mergeCells count="5">
    <mergeCell ref="A1:M1"/>
    <mergeCell ref="A2:A3"/>
    <mergeCell ref="B2:E2"/>
    <mergeCell ref="F2:I2"/>
    <mergeCell ref="J2:M2"/>
  </mergeCells>
  <drawing r:id="rId1"/>
</worksheet>
</file>