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2" sheetId="1" r:id="rId5"/>
  </sheets>
  <definedNames/>
  <calcPr/>
</workbook>
</file>

<file path=xl/sharedStrings.xml><?xml version="1.0" encoding="utf-8"?>
<sst xmlns="http://schemas.openxmlformats.org/spreadsheetml/2006/main" count="82" uniqueCount="19">
  <si>
    <t>Straight Line</t>
  </si>
  <si>
    <t>Rotational</t>
  </si>
  <si>
    <t>Expected Pose</t>
  </si>
  <si>
    <t>𝑥 (mm)</t>
  </si>
  <si>
    <t>𝑦 (mm)</t>
  </si>
  <si>
    <t>𝜃 (°)</t>
  </si>
  <si>
    <t>𝑚 (mm)</t>
  </si>
  <si>
    <t>Velocity</t>
  </si>
  <si>
    <t>Trial</t>
  </si>
  <si>
    <t>Encoder Pose</t>
  </si>
  <si>
    <t>Emperical Pose</t>
  </si>
  <si>
    <t>Encoder Pose Error</t>
  </si>
  <si>
    <t>Emperical Pose Error</t>
  </si>
  <si>
    <t>𝑣 (mm/s)</t>
  </si>
  <si>
    <t>𝜔 (°/s)</t>
  </si>
  <si>
    <t>1</t>
  </si>
  <si>
    <t>Avg</t>
  </si>
  <si>
    <t>Max</t>
  </si>
  <si>
    <t>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</si>
</sst>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5">
    <font>
      <sz val="10.0"/>
      <color rgb="FF000000"/>
      <name val="Arial"/>
      <scheme val="minor"/>
    </font>
    <font>
      <color rgb="FFFFFFFF"/>
      <name val="Arial"/>
    </font>
    <font/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readingOrder="0" vertical="bottom"/>
    </xf>
    <xf borderId="2" fillId="0" fontId="2" numFmtId="0" xfId="0" applyBorder="1" applyFont="1"/>
    <xf borderId="0" fillId="0" fontId="3" numFmtId="49" xfId="0" applyFont="1" applyNumberFormat="1"/>
    <xf borderId="0" fillId="2" fontId="1" numFmtId="49" xfId="0" applyAlignment="1" applyFill="1" applyFont="1" applyNumberFormat="1">
      <alignment readingOrder="0" vertical="bottom"/>
    </xf>
    <xf borderId="0" fillId="3" fontId="3" numFmtId="0" xfId="0" applyAlignment="1" applyFill="1" applyFont="1">
      <alignment readingOrder="0"/>
    </xf>
    <xf borderId="0" fillId="3" fontId="3" numFmtId="0" xfId="0" applyFill="1" applyFont="1"/>
    <xf borderId="0" fillId="3" fontId="4" numFmtId="49" xfId="0" applyAlignment="1" applyFill="1" applyFont="1" applyNumberFormat="1">
      <alignment horizontal="center"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Font="1"/>
    <xf borderId="0" fillId="3" fontId="3" numFmtId="0" xfId="0" applyAlignment="1" applyFill="1" applyFont="1">
      <alignment horizontal="center" readingOrder="0"/>
    </xf>
    <xf borderId="0" fillId="3" fontId="4" numFmtId="49" xfId="0" applyAlignment="1" applyFill="1" applyFont="1" applyNumberFormat="1">
      <alignment horizontal="center" vertical="bottom"/>
    </xf>
    <xf borderId="0" fillId="4" fontId="4" numFmtId="49" xfId="0" applyAlignment="1" applyFill="1" applyFont="1" applyNumberFormat="1">
      <alignment horizontal="center" readingOrder="0" vertical="bottom"/>
    </xf>
    <xf borderId="0" fillId="5" fontId="4" numFmtId="49" xfId="0" applyAlignment="1" applyFill="1" applyFont="1" applyNumberFormat="1">
      <alignment horizontal="center" readingOrder="0" vertical="bottom"/>
    </xf>
    <xf borderId="0" fillId="0" fontId="4" numFmtId="49" xfId="0" applyAlignment="1" applyFont="1" applyNumberFormat="1">
      <alignment horizontal="right" vertical="bottom"/>
    </xf>
    <xf borderId="0" fillId="6" fontId="4" numFmtId="0" xfId="0" applyAlignment="1" applyFill="1" applyFont="1">
      <alignment readingOrder="0" vertical="bottom"/>
    </xf>
    <xf borderId="0" fillId="0" fontId="3" numFmtId="164" xfId="0" applyFont="1" applyNumberFormat="1"/>
    <xf borderId="0" fillId="0" fontId="3" numFmtId="165" xfId="0" applyFont="1" applyNumberFormat="1"/>
    <xf borderId="0" fillId="7" fontId="4" numFmtId="164" xfId="0" applyAlignment="1" applyFill="1" applyFont="1" applyNumberFormat="1">
      <alignment vertical="bottom"/>
    </xf>
    <xf borderId="0" fillId="7" fontId="3" numFmtId="164" xfId="0" applyFill="1" applyFont="1" applyNumberFormat="1"/>
    <xf borderId="0" fillId="7" fontId="4" numFmtId="165" xfId="0" applyAlignment="1" applyFill="1" applyFont="1" applyNumberFormat="1">
      <alignment vertical="bottom"/>
    </xf>
    <xf borderId="0" fillId="7" fontId="3" numFmtId="165" xfId="0" applyFill="1" applyFont="1" applyNumberForma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164" xfId="0" applyAlignment="1" applyFont="1" applyNumberFormat="1">
      <alignment vertical="bottom"/>
    </xf>
    <xf borderId="0" fillId="0" fontId="4" numFmtId="165" xfId="0" applyAlignment="1" applyFont="1" applyNumberForma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 t="s">
        <v>1</v>
      </c>
      <c r="AN1" s="3"/>
      <c r="AO1" s="3"/>
      <c r="AP1" s="3"/>
      <c r="AQ1" s="3"/>
      <c r="AR1" s="3"/>
      <c r="AS1" s="3"/>
      <c r="AT1" s="3"/>
      <c r="AV1" s="3"/>
      <c r="AW1" s="3"/>
      <c r="AX1" s="3"/>
      <c r="AY1" s="3"/>
      <c r="AZ1" s="3"/>
      <c r="BA1" s="3"/>
      <c r="BB1" s="3"/>
    </row>
    <row r="2">
      <c r="A2" s="5" t="s">
        <v>2</v>
      </c>
      <c r="E2" s="6"/>
      <c r="T2" s="5" t="s">
        <v>2</v>
      </c>
      <c r="X2" s="6"/>
      <c r="AN2" s="3"/>
      <c r="AO2" s="3"/>
      <c r="AP2" s="3"/>
      <c r="AQ2" s="3"/>
      <c r="AR2" s="3"/>
      <c r="AS2" s="3"/>
      <c r="AT2" s="3"/>
      <c r="AV2" s="3"/>
      <c r="AW2" s="3"/>
      <c r="AX2" s="3"/>
      <c r="AY2" s="3"/>
      <c r="AZ2" s="3"/>
      <c r="BA2" s="3"/>
      <c r="BB2" s="3"/>
    </row>
    <row r="3">
      <c r="A3" s="7" t="s">
        <v>3</v>
      </c>
      <c r="B3" s="7" t="s">
        <v>4</v>
      </c>
      <c r="C3" s="7" t="s">
        <v>5</v>
      </c>
      <c r="D3" s="5" t="s">
        <v>6</v>
      </c>
      <c r="T3" s="7" t="s">
        <v>3</v>
      </c>
      <c r="U3" s="7" t="s">
        <v>4</v>
      </c>
      <c r="V3" s="7" t="s">
        <v>5</v>
      </c>
      <c r="W3" s="5" t="s">
        <v>6</v>
      </c>
      <c r="AN3" s="3"/>
      <c r="AO3" s="3"/>
      <c r="AP3" s="3"/>
      <c r="AQ3" s="3"/>
      <c r="AR3" s="3"/>
      <c r="AS3" s="3"/>
      <c r="AT3" s="3"/>
      <c r="AV3" s="3"/>
      <c r="AW3" s="3"/>
      <c r="AX3" s="3"/>
      <c r="AY3" s="3"/>
      <c r="AZ3" s="3"/>
      <c r="BA3" s="3"/>
      <c r="BB3" s="3"/>
    </row>
    <row r="4">
      <c r="A4" s="8">
        <v>500.0</v>
      </c>
      <c r="B4" s="8">
        <v>0.0</v>
      </c>
      <c r="C4" s="8">
        <v>0.0</v>
      </c>
      <c r="D4" s="9">
        <f>SQRT(POW(A4,2)+POW(B4,2))</f>
        <v>500</v>
      </c>
      <c r="T4" s="8">
        <v>0.0</v>
      </c>
      <c r="U4" s="8">
        <v>0.0</v>
      </c>
      <c r="V4" s="8">
        <v>0.0</v>
      </c>
      <c r="W4" s="9">
        <f>SQRT(POW(T4,2)+POW(U4,2))</f>
        <v>0</v>
      </c>
      <c r="AN4" s="3"/>
      <c r="AO4" s="10"/>
      <c r="AP4" s="10"/>
      <c r="AQ4" s="10"/>
      <c r="AR4" s="10"/>
      <c r="AS4" s="10"/>
      <c r="AT4" s="10"/>
      <c r="AV4" s="3"/>
      <c r="AW4" s="10"/>
      <c r="AX4" s="10"/>
      <c r="AY4" s="10"/>
      <c r="AZ4" s="10"/>
      <c r="BA4" s="10"/>
      <c r="BB4" s="10"/>
    </row>
    <row r="5">
      <c r="A5" s="11" t="s">
        <v>7</v>
      </c>
      <c r="B5" s="12" t="s">
        <v>8</v>
      </c>
      <c r="C5" s="5" t="s">
        <v>9</v>
      </c>
      <c r="G5" s="5" t="s">
        <v>10</v>
      </c>
      <c r="K5" s="5" t="s">
        <v>11</v>
      </c>
      <c r="O5" s="5" t="s">
        <v>12</v>
      </c>
      <c r="S5" s="10"/>
      <c r="T5" s="11" t="s">
        <v>7</v>
      </c>
      <c r="U5" s="12" t="s">
        <v>8</v>
      </c>
      <c r="V5" s="5" t="s">
        <v>9</v>
      </c>
      <c r="Z5" s="5" t="s">
        <v>10</v>
      </c>
      <c r="AD5" s="5" t="s">
        <v>11</v>
      </c>
      <c r="AH5" s="5" t="s">
        <v>12</v>
      </c>
      <c r="AN5" s="10"/>
      <c r="AO5" s="10"/>
      <c r="AP5" s="10"/>
      <c r="AQ5" s="10"/>
      <c r="AR5" s="10"/>
      <c r="AS5" s="10"/>
      <c r="AT5" s="10"/>
      <c r="AV5" s="10"/>
      <c r="AW5" s="10"/>
      <c r="AX5" s="10"/>
      <c r="AY5" s="10"/>
      <c r="AZ5" s="10"/>
      <c r="BA5" s="10"/>
      <c r="BB5" s="10"/>
    </row>
    <row r="6">
      <c r="A6" s="11" t="s">
        <v>13</v>
      </c>
      <c r="C6" s="13" t="s">
        <v>3</v>
      </c>
      <c r="D6" s="13" t="s">
        <v>4</v>
      </c>
      <c r="E6" s="13" t="s">
        <v>5</v>
      </c>
      <c r="F6" s="7" t="s">
        <v>6</v>
      </c>
      <c r="G6" s="13" t="s">
        <v>3</v>
      </c>
      <c r="H6" s="13" t="s">
        <v>4</v>
      </c>
      <c r="I6" s="13" t="s">
        <v>5</v>
      </c>
      <c r="J6" s="7" t="s">
        <v>6</v>
      </c>
      <c r="K6" s="14" t="s">
        <v>3</v>
      </c>
      <c r="L6" s="14" t="s">
        <v>4</v>
      </c>
      <c r="M6" s="14" t="s">
        <v>5</v>
      </c>
      <c r="N6" s="14" t="s">
        <v>6</v>
      </c>
      <c r="O6" s="14" t="s">
        <v>3</v>
      </c>
      <c r="P6" s="14" t="s">
        <v>4</v>
      </c>
      <c r="Q6" s="14" t="s">
        <v>5</v>
      </c>
      <c r="R6" s="14" t="s">
        <v>6</v>
      </c>
      <c r="S6" s="3"/>
      <c r="T6" s="11" t="s">
        <v>14</v>
      </c>
      <c r="V6" s="13" t="s">
        <v>3</v>
      </c>
      <c r="W6" s="13" t="s">
        <v>4</v>
      </c>
      <c r="X6" s="13" t="s">
        <v>5</v>
      </c>
      <c r="Y6" s="7" t="s">
        <v>6</v>
      </c>
      <c r="Z6" s="13" t="s">
        <v>3</v>
      </c>
      <c r="AA6" s="13" t="s">
        <v>4</v>
      </c>
      <c r="AB6" s="13" t="s">
        <v>5</v>
      </c>
      <c r="AC6" s="7" t="s">
        <v>6</v>
      </c>
      <c r="AD6" s="14" t="s">
        <v>3</v>
      </c>
      <c r="AE6" s="14" t="s">
        <v>4</v>
      </c>
      <c r="AF6" s="14" t="s">
        <v>5</v>
      </c>
      <c r="AG6" s="14" t="s">
        <v>6</v>
      </c>
      <c r="AH6" s="14" t="s">
        <v>3</v>
      </c>
      <c r="AI6" s="14" t="s">
        <v>4</v>
      </c>
      <c r="AJ6" s="14" t="s">
        <v>5</v>
      </c>
      <c r="AK6" s="14" t="s">
        <v>6</v>
      </c>
      <c r="AN6" s="10"/>
      <c r="AO6" s="10"/>
      <c r="AP6" s="10"/>
      <c r="AQ6" s="10"/>
      <c r="AR6" s="10"/>
      <c r="AS6" s="10"/>
      <c r="AT6" s="10"/>
      <c r="AV6" s="10"/>
      <c r="AW6" s="10"/>
      <c r="AX6" s="10"/>
      <c r="AY6" s="10"/>
      <c r="AZ6" s="10"/>
      <c r="BA6" s="10"/>
      <c r="BB6" s="10"/>
    </row>
    <row r="7">
      <c r="A7" s="8">
        <v>90.0</v>
      </c>
      <c r="B7" s="15" t="s">
        <v>15</v>
      </c>
      <c r="C7" s="16">
        <v>501.133</v>
      </c>
      <c r="D7" s="16">
        <v>-4.517</v>
      </c>
      <c r="E7" s="16">
        <v>-0.509</v>
      </c>
      <c r="F7" s="17">
        <f t="shared" ref="F7:F9" si="1">SQRT(POW(C7,2)+POW(D7,2))</f>
        <v>501.1533567</v>
      </c>
      <c r="G7" s="16">
        <v>492.0</v>
      </c>
      <c r="H7" s="16">
        <v>-13.0</v>
      </c>
      <c r="I7" s="16">
        <v>-4.0</v>
      </c>
      <c r="J7" s="18">
        <f t="shared" ref="J7:J9" si="2">SQRT(POW(G7,2)+POW(H7,2))</f>
        <v>492.171718</v>
      </c>
      <c r="K7" s="19">
        <f t="shared" ref="K7:K9" si="3">(C7-$A$4)</f>
        <v>1.133</v>
      </c>
      <c r="L7" s="20">
        <f t="shared" ref="L7:L9" si="4">(D7-$B$4)</f>
        <v>-4.517</v>
      </c>
      <c r="M7" s="20">
        <f t="shared" ref="M7:M9" si="5">(E7-$C$4)</f>
        <v>-0.509</v>
      </c>
      <c r="N7" s="20">
        <f t="shared" ref="N7:N9" si="6">SQRT(POW(K7,2)+POW(L7,2))</f>
        <v>4.656927957</v>
      </c>
      <c r="O7" s="21">
        <f t="shared" ref="O7:O9" si="7">(G7-$A$4)</f>
        <v>-8</v>
      </c>
      <c r="P7" s="22">
        <f t="shared" ref="P7:P9" si="8">(H7-$B$4)</f>
        <v>-13</v>
      </c>
      <c r="Q7" s="22">
        <f t="shared" ref="Q7:Q9" si="9">(I7-$C$4)</f>
        <v>-4</v>
      </c>
      <c r="R7" s="22">
        <f t="shared" ref="R7:R9" si="10">SQRT(POW(O7,2)+POW(P7,2))</f>
        <v>15.26433752</v>
      </c>
      <c r="S7" s="10"/>
      <c r="T7" s="8">
        <v>60.0</v>
      </c>
      <c r="U7" s="15" t="s">
        <v>15</v>
      </c>
      <c r="V7" s="16">
        <v>-0.549</v>
      </c>
      <c r="W7" s="16">
        <v>0.053</v>
      </c>
      <c r="X7" s="16">
        <v>0.776</v>
      </c>
      <c r="Y7" s="17">
        <f t="shared" ref="Y7:Y9" si="11">SQRT(POW(V7,2)+POW(W7,2))</f>
        <v>0.5515523547</v>
      </c>
      <c r="Z7" s="16">
        <v>-1.0</v>
      </c>
      <c r="AA7" s="16">
        <v>4.0</v>
      </c>
      <c r="AB7" s="16">
        <v>20.0</v>
      </c>
      <c r="AC7" s="18">
        <f t="shared" ref="AC7:AC9" si="12">SQRT(POW(Z7,2)+POW(AA7,2))</f>
        <v>4.123105626</v>
      </c>
      <c r="AD7" s="19">
        <f t="shared" ref="AD7:AD9" si="13">(V7-$A$4)</f>
        <v>-500.549</v>
      </c>
      <c r="AE7" s="20">
        <f t="shared" ref="AE7:AE9" si="14">(W7-$B$4)</f>
        <v>0.053</v>
      </c>
      <c r="AF7" s="20">
        <f t="shared" ref="AF7:AF9" si="15">(X7-$C$4)</f>
        <v>0.776</v>
      </c>
      <c r="AG7" s="20">
        <f t="shared" ref="AG7:AG9" si="16">SQRT(POW(AD7,2)+POW(AE7,2))</f>
        <v>500.5490028</v>
      </c>
      <c r="AH7" s="21">
        <f t="shared" ref="AH7:AH9" si="17">(Z7-$T$4)</f>
        <v>-1</v>
      </c>
      <c r="AI7" s="22">
        <f t="shared" ref="AI7:AI9" si="18">(AA7-$U$4)</f>
        <v>4</v>
      </c>
      <c r="AJ7" s="22">
        <f t="shared" ref="AJ7:AJ9" si="19">(AB7-$V$4)</f>
        <v>20</v>
      </c>
      <c r="AK7" s="22">
        <f t="shared" ref="AK7:AK9" si="20">SQRT(POW(AH7,2)+POW(AI7,2))</f>
        <v>4.123105626</v>
      </c>
      <c r="AN7" s="10"/>
      <c r="AV7" s="10"/>
    </row>
    <row r="8">
      <c r="B8" s="23">
        <v>2.0</v>
      </c>
      <c r="C8" s="16">
        <v>499.898</v>
      </c>
      <c r="D8" s="16">
        <v>-5.781</v>
      </c>
      <c r="E8" s="16">
        <v>-0.697</v>
      </c>
      <c r="F8" s="17">
        <f t="shared" si="1"/>
        <v>499.9314257</v>
      </c>
      <c r="G8" s="16">
        <v>490.0</v>
      </c>
      <c r="H8" s="16">
        <v>-11.0</v>
      </c>
      <c r="I8" s="16">
        <v>-2.0</v>
      </c>
      <c r="J8" s="18">
        <f t="shared" si="2"/>
        <v>490.1234538</v>
      </c>
      <c r="K8" s="19">
        <f t="shared" si="3"/>
        <v>-0.102</v>
      </c>
      <c r="L8" s="20">
        <f t="shared" si="4"/>
        <v>-5.781</v>
      </c>
      <c r="M8" s="20">
        <f t="shared" si="5"/>
        <v>-0.697</v>
      </c>
      <c r="N8" s="20">
        <f t="shared" si="6"/>
        <v>5.781899774</v>
      </c>
      <c r="O8" s="21">
        <f t="shared" si="7"/>
        <v>-10</v>
      </c>
      <c r="P8" s="22">
        <f t="shared" si="8"/>
        <v>-11</v>
      </c>
      <c r="Q8" s="22">
        <f t="shared" si="9"/>
        <v>-2</v>
      </c>
      <c r="R8" s="22">
        <f t="shared" si="10"/>
        <v>14.86606875</v>
      </c>
      <c r="S8" s="3"/>
      <c r="U8" s="23">
        <v>2.0</v>
      </c>
      <c r="V8" s="16">
        <v>-0.554</v>
      </c>
      <c r="W8" s="16">
        <v>-0.135</v>
      </c>
      <c r="X8" s="16">
        <v>1.115</v>
      </c>
      <c r="Y8" s="17">
        <f t="shared" si="11"/>
        <v>0.5702113643</v>
      </c>
      <c r="Z8" s="16">
        <v>-1.0</v>
      </c>
      <c r="AA8" s="16">
        <v>4.0</v>
      </c>
      <c r="AB8" s="16">
        <v>21.0</v>
      </c>
      <c r="AC8" s="18">
        <f t="shared" si="12"/>
        <v>4.123105626</v>
      </c>
      <c r="AD8" s="19">
        <f t="shared" si="13"/>
        <v>-500.554</v>
      </c>
      <c r="AE8" s="20">
        <f t="shared" si="14"/>
        <v>-0.135</v>
      </c>
      <c r="AF8" s="20">
        <f t="shared" si="15"/>
        <v>1.115</v>
      </c>
      <c r="AG8" s="20">
        <f t="shared" si="16"/>
        <v>500.5540182</v>
      </c>
      <c r="AH8" s="21">
        <f t="shared" si="17"/>
        <v>-1</v>
      </c>
      <c r="AI8" s="22">
        <f t="shared" si="18"/>
        <v>4</v>
      </c>
      <c r="AJ8" s="22">
        <f t="shared" si="19"/>
        <v>21</v>
      </c>
      <c r="AK8" s="22">
        <f t="shared" si="20"/>
        <v>4.123105626</v>
      </c>
      <c r="AN8" s="3"/>
      <c r="AO8" s="3"/>
      <c r="AP8" s="3"/>
      <c r="AQ8" s="3"/>
      <c r="AR8" s="3"/>
      <c r="AS8" s="3"/>
      <c r="AT8" s="3"/>
      <c r="AV8" s="3"/>
      <c r="AW8" s="3"/>
      <c r="AX8" s="3"/>
      <c r="AY8" s="3"/>
      <c r="AZ8" s="3"/>
      <c r="BA8" s="3"/>
      <c r="BB8" s="3"/>
    </row>
    <row r="9">
      <c r="B9" s="23">
        <v>3.0</v>
      </c>
      <c r="C9" s="16">
        <v>500.899</v>
      </c>
      <c r="D9" s="16">
        <v>-3.261</v>
      </c>
      <c r="E9" s="16">
        <v>-0.339</v>
      </c>
      <c r="F9" s="17">
        <f t="shared" si="1"/>
        <v>500.9096149</v>
      </c>
      <c r="G9" s="16">
        <v>488.0</v>
      </c>
      <c r="H9" s="16">
        <v>-2.0</v>
      </c>
      <c r="I9" s="16">
        <v>0.0</v>
      </c>
      <c r="J9" s="18">
        <f t="shared" si="2"/>
        <v>488.0040983</v>
      </c>
      <c r="K9" s="19">
        <f t="shared" si="3"/>
        <v>0.899</v>
      </c>
      <c r="L9" s="20">
        <f t="shared" si="4"/>
        <v>-3.261</v>
      </c>
      <c r="M9" s="20">
        <f t="shared" si="5"/>
        <v>-0.339</v>
      </c>
      <c r="N9" s="20">
        <f t="shared" si="6"/>
        <v>3.382650144</v>
      </c>
      <c r="O9" s="21">
        <f t="shared" si="7"/>
        <v>-12</v>
      </c>
      <c r="P9" s="22">
        <f t="shared" si="8"/>
        <v>-2</v>
      </c>
      <c r="Q9" s="22">
        <f t="shared" si="9"/>
        <v>0</v>
      </c>
      <c r="R9" s="22">
        <f t="shared" si="10"/>
        <v>12.16552506</v>
      </c>
      <c r="S9" s="3"/>
      <c r="U9" s="23">
        <v>3.0</v>
      </c>
      <c r="V9" s="16">
        <v>-0.859</v>
      </c>
      <c r="W9" s="16">
        <v>-0.029</v>
      </c>
      <c r="X9" s="16">
        <v>0.606</v>
      </c>
      <c r="Y9" s="17">
        <f t="shared" si="11"/>
        <v>0.8594893833</v>
      </c>
      <c r="Z9" s="16">
        <v>-1.0</v>
      </c>
      <c r="AA9" s="16">
        <v>6.0</v>
      </c>
      <c r="AB9" s="16">
        <v>23.0</v>
      </c>
      <c r="AC9" s="18">
        <f t="shared" si="12"/>
        <v>6.08276253</v>
      </c>
      <c r="AD9" s="19">
        <f t="shared" si="13"/>
        <v>-500.859</v>
      </c>
      <c r="AE9" s="20">
        <f t="shared" si="14"/>
        <v>-0.029</v>
      </c>
      <c r="AF9" s="20">
        <f t="shared" si="15"/>
        <v>0.606</v>
      </c>
      <c r="AG9" s="20">
        <f t="shared" si="16"/>
        <v>500.8590008</v>
      </c>
      <c r="AH9" s="21">
        <f t="shared" si="17"/>
        <v>-1</v>
      </c>
      <c r="AI9" s="22">
        <f t="shared" si="18"/>
        <v>6</v>
      </c>
      <c r="AJ9" s="22">
        <f t="shared" si="19"/>
        <v>23</v>
      </c>
      <c r="AK9" s="22">
        <f t="shared" si="20"/>
        <v>6.08276253</v>
      </c>
      <c r="AN9" s="3"/>
      <c r="AO9" s="3"/>
      <c r="AP9" s="3"/>
      <c r="AQ9" s="3"/>
      <c r="AR9" s="3"/>
      <c r="AS9" s="3"/>
      <c r="AT9" s="3"/>
      <c r="AV9" s="3"/>
      <c r="AW9" s="3"/>
      <c r="AX9" s="3"/>
      <c r="AY9" s="3"/>
      <c r="AZ9" s="3"/>
      <c r="BA9" s="3"/>
      <c r="BB9" s="3"/>
    </row>
    <row r="10">
      <c r="A10" s="24"/>
      <c r="B10" s="25" t="s">
        <v>16</v>
      </c>
      <c r="C10" s="26">
        <f t="shared" ref="C10:R10" si="21">AVERAGE(C7:C9)</f>
        <v>500.6433333</v>
      </c>
      <c r="D10" s="26">
        <f t="shared" si="21"/>
        <v>-4.519666667</v>
      </c>
      <c r="E10" s="26">
        <f t="shared" si="21"/>
        <v>-0.515</v>
      </c>
      <c r="F10" s="26">
        <f t="shared" si="21"/>
        <v>500.6647991</v>
      </c>
      <c r="G10" s="27">
        <f t="shared" si="21"/>
        <v>490</v>
      </c>
      <c r="H10" s="27">
        <f t="shared" si="21"/>
        <v>-8.666666667</v>
      </c>
      <c r="I10" s="27">
        <f t="shared" si="21"/>
        <v>-2</v>
      </c>
      <c r="J10" s="27">
        <f t="shared" si="21"/>
        <v>490.0997567</v>
      </c>
      <c r="K10" s="26">
        <f t="shared" si="21"/>
        <v>0.6433333333</v>
      </c>
      <c r="L10" s="26">
        <f t="shared" si="21"/>
        <v>-4.519666667</v>
      </c>
      <c r="M10" s="26">
        <f t="shared" si="21"/>
        <v>-0.515</v>
      </c>
      <c r="N10" s="26">
        <f t="shared" si="21"/>
        <v>4.607159292</v>
      </c>
      <c r="O10" s="27">
        <f t="shared" si="21"/>
        <v>-10</v>
      </c>
      <c r="P10" s="27">
        <f t="shared" si="21"/>
        <v>-8.666666667</v>
      </c>
      <c r="Q10" s="27">
        <f t="shared" si="21"/>
        <v>-2</v>
      </c>
      <c r="R10" s="27">
        <f t="shared" si="21"/>
        <v>14.09864378</v>
      </c>
      <c r="S10" s="3"/>
      <c r="T10" s="24"/>
      <c r="U10" s="25" t="s">
        <v>16</v>
      </c>
      <c r="V10" s="26">
        <f t="shared" ref="V10:AK10" si="22">AVERAGE(V7:V9)</f>
        <v>-0.654</v>
      </c>
      <c r="W10" s="26">
        <f t="shared" si="22"/>
        <v>-0.037</v>
      </c>
      <c r="X10" s="26">
        <f t="shared" si="22"/>
        <v>0.8323333333</v>
      </c>
      <c r="Y10" s="26">
        <f t="shared" si="22"/>
        <v>0.6604177008</v>
      </c>
      <c r="Z10" s="27">
        <f t="shared" si="22"/>
        <v>-1</v>
      </c>
      <c r="AA10" s="27">
        <f t="shared" si="22"/>
        <v>4.666666667</v>
      </c>
      <c r="AB10" s="27">
        <f t="shared" si="22"/>
        <v>21.33333333</v>
      </c>
      <c r="AC10" s="27">
        <f t="shared" si="22"/>
        <v>4.776324594</v>
      </c>
      <c r="AD10" s="26">
        <f t="shared" si="22"/>
        <v>-500.654</v>
      </c>
      <c r="AE10" s="26">
        <f t="shared" si="22"/>
        <v>-0.037</v>
      </c>
      <c r="AF10" s="26">
        <f t="shared" si="22"/>
        <v>0.8323333333</v>
      </c>
      <c r="AG10" s="26">
        <f t="shared" si="22"/>
        <v>500.6540073</v>
      </c>
      <c r="AH10" s="27">
        <f t="shared" si="22"/>
        <v>-1</v>
      </c>
      <c r="AI10" s="27">
        <f t="shared" si="22"/>
        <v>4.666666667</v>
      </c>
      <c r="AJ10" s="27">
        <f t="shared" si="22"/>
        <v>21.33333333</v>
      </c>
      <c r="AK10" s="27">
        <f t="shared" si="22"/>
        <v>4.776324594</v>
      </c>
      <c r="AN10" s="3"/>
      <c r="AO10" s="10"/>
      <c r="AP10" s="10"/>
      <c r="AQ10" s="10"/>
      <c r="AR10" s="10"/>
      <c r="AS10" s="10"/>
      <c r="AT10" s="10"/>
      <c r="AV10" s="3"/>
      <c r="AW10" s="10"/>
      <c r="AX10" s="10"/>
      <c r="AY10" s="10"/>
      <c r="AZ10" s="10"/>
      <c r="BA10" s="10"/>
      <c r="BB10" s="10"/>
    </row>
    <row r="11">
      <c r="A11" s="23"/>
      <c r="B11" s="25" t="s">
        <v>17</v>
      </c>
      <c r="C11" s="17">
        <f t="shared" ref="C11:R11" si="23">MAX(C7:C9)</f>
        <v>501.133</v>
      </c>
      <c r="D11" s="17">
        <f t="shared" si="23"/>
        <v>-3.261</v>
      </c>
      <c r="E11" s="17">
        <f t="shared" si="23"/>
        <v>-0.339</v>
      </c>
      <c r="F11" s="17">
        <f t="shared" si="23"/>
        <v>501.1533567</v>
      </c>
      <c r="G11" s="18">
        <f t="shared" si="23"/>
        <v>492</v>
      </c>
      <c r="H11" s="18">
        <f t="shared" si="23"/>
        <v>-2</v>
      </c>
      <c r="I11" s="18">
        <f t="shared" si="23"/>
        <v>0</v>
      </c>
      <c r="J11" s="18">
        <f t="shared" si="23"/>
        <v>492.171718</v>
      </c>
      <c r="K11" s="17">
        <f t="shared" si="23"/>
        <v>1.133</v>
      </c>
      <c r="L11" s="17">
        <f t="shared" si="23"/>
        <v>-3.261</v>
      </c>
      <c r="M11" s="17">
        <f t="shared" si="23"/>
        <v>-0.339</v>
      </c>
      <c r="N11" s="17">
        <f t="shared" si="23"/>
        <v>5.781899774</v>
      </c>
      <c r="O11" s="18">
        <f t="shared" si="23"/>
        <v>-8</v>
      </c>
      <c r="P11" s="18">
        <f t="shared" si="23"/>
        <v>-2</v>
      </c>
      <c r="Q11" s="18">
        <f t="shared" si="23"/>
        <v>0</v>
      </c>
      <c r="R11" s="18">
        <f t="shared" si="23"/>
        <v>15.26433752</v>
      </c>
      <c r="S11" s="3"/>
      <c r="T11" s="23"/>
      <c r="U11" s="25" t="s">
        <v>17</v>
      </c>
      <c r="V11" s="17">
        <f t="shared" ref="V11:AK11" si="24">MAX(V7:V9)</f>
        <v>-0.549</v>
      </c>
      <c r="W11" s="17">
        <f t="shared" si="24"/>
        <v>0.053</v>
      </c>
      <c r="X11" s="17">
        <f t="shared" si="24"/>
        <v>1.115</v>
      </c>
      <c r="Y11" s="17">
        <f t="shared" si="24"/>
        <v>0.8594893833</v>
      </c>
      <c r="Z11" s="18">
        <f t="shared" si="24"/>
        <v>-1</v>
      </c>
      <c r="AA11" s="18">
        <f t="shared" si="24"/>
        <v>6</v>
      </c>
      <c r="AB11" s="18">
        <f t="shared" si="24"/>
        <v>23</v>
      </c>
      <c r="AC11" s="18">
        <f t="shared" si="24"/>
        <v>6.08276253</v>
      </c>
      <c r="AD11" s="17">
        <f t="shared" si="24"/>
        <v>-500.549</v>
      </c>
      <c r="AE11" s="17">
        <f t="shared" si="24"/>
        <v>0.053</v>
      </c>
      <c r="AF11" s="17">
        <f t="shared" si="24"/>
        <v>1.115</v>
      </c>
      <c r="AG11" s="17">
        <f t="shared" si="24"/>
        <v>500.8590008</v>
      </c>
      <c r="AH11" s="18">
        <f t="shared" si="24"/>
        <v>-1</v>
      </c>
      <c r="AI11" s="18">
        <f t="shared" si="24"/>
        <v>6</v>
      </c>
      <c r="AJ11" s="18">
        <f t="shared" si="24"/>
        <v>23</v>
      </c>
      <c r="AK11" s="18">
        <f t="shared" si="24"/>
        <v>6.08276253</v>
      </c>
      <c r="AN11" s="10"/>
      <c r="AO11" s="10"/>
      <c r="AP11" s="10"/>
      <c r="AQ11" s="10"/>
      <c r="AR11" s="10"/>
      <c r="AS11" s="10"/>
      <c r="AT11" s="10"/>
      <c r="AV11" s="10"/>
      <c r="AW11" s="10"/>
      <c r="AX11" s="10"/>
      <c r="AY11" s="10"/>
      <c r="AZ11" s="10"/>
      <c r="BA11" s="10"/>
      <c r="BB11" s="10"/>
    </row>
    <row r="12">
      <c r="A12" s="23"/>
      <c r="B12" s="25" t="s">
        <v>18</v>
      </c>
      <c r="C12" s="17">
        <f t="shared" ref="C12:R12" si="25">MIN(C7:C9)</f>
        <v>499.898</v>
      </c>
      <c r="D12" s="17">
        <f t="shared" si="25"/>
        <v>-5.781</v>
      </c>
      <c r="E12" s="17">
        <f t="shared" si="25"/>
        <v>-0.697</v>
      </c>
      <c r="F12" s="17">
        <f t="shared" si="25"/>
        <v>499.9314257</v>
      </c>
      <c r="G12" s="18">
        <f t="shared" si="25"/>
        <v>488</v>
      </c>
      <c r="H12" s="18">
        <f t="shared" si="25"/>
        <v>-13</v>
      </c>
      <c r="I12" s="18">
        <f t="shared" si="25"/>
        <v>-4</v>
      </c>
      <c r="J12" s="18">
        <f t="shared" si="25"/>
        <v>488.0040983</v>
      </c>
      <c r="K12" s="17">
        <f t="shared" si="25"/>
        <v>-0.102</v>
      </c>
      <c r="L12" s="17">
        <f t="shared" si="25"/>
        <v>-5.781</v>
      </c>
      <c r="M12" s="17">
        <f t="shared" si="25"/>
        <v>-0.697</v>
      </c>
      <c r="N12" s="17">
        <f t="shared" si="25"/>
        <v>3.382650144</v>
      </c>
      <c r="O12" s="18">
        <f t="shared" si="25"/>
        <v>-12</v>
      </c>
      <c r="P12" s="18">
        <f t="shared" si="25"/>
        <v>-13</v>
      </c>
      <c r="Q12" s="18">
        <f t="shared" si="25"/>
        <v>-4</v>
      </c>
      <c r="R12" s="18">
        <f t="shared" si="25"/>
        <v>12.16552506</v>
      </c>
      <c r="S12" s="3"/>
      <c r="T12" s="23"/>
      <c r="U12" s="25" t="s">
        <v>18</v>
      </c>
      <c r="V12" s="17">
        <f t="shared" ref="V12:AK12" si="26">MIN(V7:V9)</f>
        <v>-0.859</v>
      </c>
      <c r="W12" s="17">
        <f t="shared" si="26"/>
        <v>-0.135</v>
      </c>
      <c r="X12" s="17">
        <f t="shared" si="26"/>
        <v>0.606</v>
      </c>
      <c r="Y12" s="17">
        <f t="shared" si="26"/>
        <v>0.5515523547</v>
      </c>
      <c r="Z12" s="18">
        <f t="shared" si="26"/>
        <v>-1</v>
      </c>
      <c r="AA12" s="18">
        <f t="shared" si="26"/>
        <v>4</v>
      </c>
      <c r="AB12" s="18">
        <f t="shared" si="26"/>
        <v>20</v>
      </c>
      <c r="AC12" s="18">
        <f t="shared" si="26"/>
        <v>4.123105626</v>
      </c>
      <c r="AD12" s="17">
        <f t="shared" si="26"/>
        <v>-500.859</v>
      </c>
      <c r="AE12" s="17">
        <f t="shared" si="26"/>
        <v>-0.135</v>
      </c>
      <c r="AF12" s="17">
        <f t="shared" si="26"/>
        <v>0.606</v>
      </c>
      <c r="AG12" s="17">
        <f t="shared" si="26"/>
        <v>500.5490028</v>
      </c>
      <c r="AH12" s="18">
        <f t="shared" si="26"/>
        <v>-1</v>
      </c>
      <c r="AI12" s="18">
        <f t="shared" si="26"/>
        <v>4</v>
      </c>
      <c r="AJ12" s="18">
        <f t="shared" si="26"/>
        <v>20</v>
      </c>
      <c r="AK12" s="18">
        <f t="shared" si="26"/>
        <v>4.123105626</v>
      </c>
      <c r="AN12" s="10"/>
      <c r="AO12" s="10"/>
      <c r="AP12" s="10"/>
      <c r="AQ12" s="10"/>
      <c r="AR12" s="10"/>
      <c r="AS12" s="10"/>
      <c r="AT12" s="10"/>
      <c r="AV12" s="10"/>
      <c r="AW12" s="10"/>
      <c r="AX12" s="10"/>
      <c r="AY12" s="10"/>
      <c r="AZ12" s="10"/>
      <c r="BA12" s="10"/>
      <c r="BB12" s="10"/>
    </row>
    <row r="13">
      <c r="A13" s="8">
        <v>180.0</v>
      </c>
      <c r="B13" s="15" t="s">
        <v>15</v>
      </c>
      <c r="C13" s="16">
        <v>499.42</v>
      </c>
      <c r="D13" s="16">
        <v>-4.791</v>
      </c>
      <c r="E13" s="16">
        <v>-0.339</v>
      </c>
      <c r="F13" s="17">
        <f t="shared" ref="F13:F15" si="27">SQRT(POW(C13,2)+POW(D13,2))</f>
        <v>499.4429798</v>
      </c>
      <c r="G13" s="16">
        <v>480.0</v>
      </c>
      <c r="H13" s="16">
        <v>-13.0</v>
      </c>
      <c r="I13" s="16">
        <v>-2.0</v>
      </c>
      <c r="J13" s="18">
        <f t="shared" ref="J13:J15" si="28">SQRT(POW(G13,2)+POW(H13,2))</f>
        <v>480.1760094</v>
      </c>
      <c r="K13" s="19">
        <f t="shared" ref="K13:K15" si="29">(C13-$A$4)</f>
        <v>-0.58</v>
      </c>
      <c r="L13" s="20">
        <f t="shared" ref="L13:L15" si="30">(D13-$B$4)</f>
        <v>-4.791</v>
      </c>
      <c r="M13" s="20">
        <f t="shared" ref="M13:M15" si="31">(E13-$C$4)</f>
        <v>-0.339</v>
      </c>
      <c r="N13" s="20">
        <f t="shared" ref="N13:N15" si="32">SQRT(POW(K13,2)+POW(L13,2))</f>
        <v>4.825979797</v>
      </c>
      <c r="O13" s="21">
        <f t="shared" ref="O13:O15" si="33">(G13-$A$4)</f>
        <v>-20</v>
      </c>
      <c r="P13" s="22">
        <f t="shared" ref="P13:P15" si="34">(H13-$B$4)</f>
        <v>-13</v>
      </c>
      <c r="Q13" s="22">
        <f t="shared" ref="Q13:Q15" si="35">(I13-$C$4)</f>
        <v>-2</v>
      </c>
      <c r="R13" s="22">
        <f t="shared" ref="R13:R15" si="36">SQRT(POW(O13,2)+POW(P13,2))</f>
        <v>23.85372088</v>
      </c>
      <c r="T13" s="8">
        <v>120.0</v>
      </c>
      <c r="U13" s="15" t="s">
        <v>15</v>
      </c>
      <c r="V13" s="16">
        <v>-1.337</v>
      </c>
      <c r="W13" s="16">
        <v>-0.043</v>
      </c>
      <c r="X13" s="16">
        <v>-0.412</v>
      </c>
      <c r="Y13" s="17">
        <f t="shared" ref="Y13:Y15" si="37">SQRT(POW(V13,2)+POW(W13,2))</f>
        <v>1.337691295</v>
      </c>
      <c r="Z13" s="16">
        <v>-3.0</v>
      </c>
      <c r="AA13" s="16">
        <v>4.0</v>
      </c>
      <c r="AB13" s="16">
        <v>24.0</v>
      </c>
      <c r="AC13" s="18">
        <f t="shared" ref="AC13:AC15" si="38">SQRT(POW(Z13,2)+POW(AA13,2))</f>
        <v>5</v>
      </c>
      <c r="AD13" s="19">
        <f t="shared" ref="AD13:AD15" si="39">(V13-$A$4)</f>
        <v>-501.337</v>
      </c>
      <c r="AE13" s="20">
        <f t="shared" ref="AE13:AE15" si="40">(W13-$B$4)</f>
        <v>-0.043</v>
      </c>
      <c r="AF13" s="20">
        <f t="shared" ref="AF13:AF15" si="41">(X13-$C$4)</f>
        <v>-0.412</v>
      </c>
      <c r="AG13" s="20">
        <f t="shared" ref="AG13:AG15" si="42">SQRT(POW(AD13,2)+POW(AE13,2))</f>
        <v>501.3370018</v>
      </c>
      <c r="AH13" s="21">
        <f t="shared" ref="AH13:AH15" si="43">(Z13-$T$4)</f>
        <v>-3</v>
      </c>
      <c r="AI13" s="22">
        <f t="shared" ref="AI13:AI15" si="44">(AA13-$U$4)</f>
        <v>4</v>
      </c>
      <c r="AJ13" s="22">
        <f t="shared" ref="AJ13:AJ15" si="45">(AB13-$V$4)</f>
        <v>24</v>
      </c>
      <c r="AK13" s="22">
        <f t="shared" ref="AK13:AK15" si="46">SQRT(POW(AH13,2)+POW(AI13,2))</f>
        <v>5</v>
      </c>
      <c r="AN13" s="10"/>
      <c r="AV13" s="10"/>
    </row>
    <row r="14">
      <c r="B14" s="23">
        <v>2.0</v>
      </c>
      <c r="C14" s="16">
        <v>500.108</v>
      </c>
      <c r="D14" s="16">
        <v>-8.212</v>
      </c>
      <c r="E14" s="16">
        <v>-0.848</v>
      </c>
      <c r="F14" s="17">
        <f t="shared" si="27"/>
        <v>500.1754178</v>
      </c>
      <c r="G14" s="16">
        <v>481.0</v>
      </c>
      <c r="H14" s="16">
        <v>-2.0</v>
      </c>
      <c r="I14" s="16">
        <v>1.0</v>
      </c>
      <c r="J14" s="18">
        <f t="shared" si="28"/>
        <v>481.004158</v>
      </c>
      <c r="K14" s="19">
        <f t="shared" si="29"/>
        <v>0.108</v>
      </c>
      <c r="L14" s="20">
        <f t="shared" si="30"/>
        <v>-8.212</v>
      </c>
      <c r="M14" s="20">
        <f t="shared" si="31"/>
        <v>-0.848</v>
      </c>
      <c r="N14" s="20">
        <f t="shared" si="32"/>
        <v>8.21271015</v>
      </c>
      <c r="O14" s="21">
        <f t="shared" si="33"/>
        <v>-19</v>
      </c>
      <c r="P14" s="22">
        <f t="shared" si="34"/>
        <v>-2</v>
      </c>
      <c r="Q14" s="22">
        <f t="shared" si="35"/>
        <v>1</v>
      </c>
      <c r="R14" s="22">
        <f t="shared" si="36"/>
        <v>19.10497317</v>
      </c>
      <c r="U14" s="23">
        <v>2.0</v>
      </c>
      <c r="V14" s="16">
        <v>-1.348</v>
      </c>
      <c r="W14" s="16">
        <v>-0.005</v>
      </c>
      <c r="X14" s="16">
        <v>0.606</v>
      </c>
      <c r="Y14" s="17">
        <f t="shared" si="37"/>
        <v>1.348009273</v>
      </c>
      <c r="Z14" s="16">
        <v>-5.0</v>
      </c>
      <c r="AA14" s="16">
        <v>5.0</v>
      </c>
      <c r="AB14" s="16">
        <v>23.0</v>
      </c>
      <c r="AC14" s="18">
        <f t="shared" si="38"/>
        <v>7.071067812</v>
      </c>
      <c r="AD14" s="19">
        <f t="shared" si="39"/>
        <v>-501.348</v>
      </c>
      <c r="AE14" s="20">
        <f t="shared" si="40"/>
        <v>-0.005</v>
      </c>
      <c r="AF14" s="20">
        <f t="shared" si="41"/>
        <v>0.606</v>
      </c>
      <c r="AG14" s="20">
        <f t="shared" si="42"/>
        <v>501.348</v>
      </c>
      <c r="AH14" s="21">
        <f t="shared" si="43"/>
        <v>-5</v>
      </c>
      <c r="AI14" s="22">
        <f t="shared" si="44"/>
        <v>5</v>
      </c>
      <c r="AJ14" s="22">
        <f t="shared" si="45"/>
        <v>23</v>
      </c>
      <c r="AK14" s="22">
        <f t="shared" si="46"/>
        <v>7.071067812</v>
      </c>
      <c r="AN14" s="3"/>
      <c r="AO14" s="3"/>
      <c r="AP14" s="3"/>
      <c r="AQ14" s="3"/>
      <c r="AR14" s="3"/>
      <c r="AS14" s="3"/>
      <c r="AT14" s="3"/>
      <c r="AV14" s="3"/>
      <c r="AW14" s="3"/>
      <c r="AX14" s="3"/>
      <c r="AY14" s="3"/>
      <c r="AZ14" s="3"/>
      <c r="BA14" s="3"/>
      <c r="BB14" s="3"/>
    </row>
    <row r="15">
      <c r="B15" s="23">
        <v>3.0</v>
      </c>
      <c r="C15" s="16">
        <v>498.395</v>
      </c>
      <c r="D15" s="16">
        <v>-8.355</v>
      </c>
      <c r="E15" s="16">
        <v>-1.018</v>
      </c>
      <c r="F15" s="17">
        <f t="shared" si="27"/>
        <v>498.4650259</v>
      </c>
      <c r="G15" s="16">
        <v>480.0</v>
      </c>
      <c r="H15" s="16">
        <v>-2.0</v>
      </c>
      <c r="I15" s="16">
        <v>1.0</v>
      </c>
      <c r="J15" s="18">
        <f t="shared" si="28"/>
        <v>480.0041666</v>
      </c>
      <c r="K15" s="19">
        <f t="shared" si="29"/>
        <v>-1.605</v>
      </c>
      <c r="L15" s="20">
        <f t="shared" si="30"/>
        <v>-8.355</v>
      </c>
      <c r="M15" s="20">
        <f t="shared" si="31"/>
        <v>-1.018</v>
      </c>
      <c r="N15" s="20">
        <f t="shared" si="32"/>
        <v>8.507764101</v>
      </c>
      <c r="O15" s="21">
        <f t="shared" si="33"/>
        <v>-20</v>
      </c>
      <c r="P15" s="22">
        <f t="shared" si="34"/>
        <v>-2</v>
      </c>
      <c r="Q15" s="22">
        <f t="shared" si="35"/>
        <v>1</v>
      </c>
      <c r="R15" s="22">
        <f t="shared" si="36"/>
        <v>20.09975124</v>
      </c>
      <c r="U15" s="23">
        <v>3.0</v>
      </c>
      <c r="V15" s="16">
        <v>-1.247</v>
      </c>
      <c r="W15" s="16">
        <v>-0.085</v>
      </c>
      <c r="X15" s="16">
        <v>-0.073</v>
      </c>
      <c r="Y15" s="17">
        <f t="shared" si="37"/>
        <v>1.249893595</v>
      </c>
      <c r="Z15" s="16">
        <v>-6.0</v>
      </c>
      <c r="AA15" s="16">
        <v>5.0</v>
      </c>
      <c r="AB15" s="16">
        <v>24.0</v>
      </c>
      <c r="AC15" s="18">
        <f t="shared" si="38"/>
        <v>7.810249676</v>
      </c>
      <c r="AD15" s="19">
        <f t="shared" si="39"/>
        <v>-501.247</v>
      </c>
      <c r="AE15" s="20">
        <f t="shared" si="40"/>
        <v>-0.085</v>
      </c>
      <c r="AF15" s="20">
        <f t="shared" si="41"/>
        <v>-0.073</v>
      </c>
      <c r="AG15" s="20">
        <f t="shared" si="42"/>
        <v>501.2470072</v>
      </c>
      <c r="AH15" s="21">
        <f t="shared" si="43"/>
        <v>-6</v>
      </c>
      <c r="AI15" s="22">
        <f t="shared" si="44"/>
        <v>5</v>
      </c>
      <c r="AJ15" s="22">
        <f t="shared" si="45"/>
        <v>24</v>
      </c>
      <c r="AK15" s="22">
        <f t="shared" si="46"/>
        <v>7.810249676</v>
      </c>
      <c r="AN15" s="3"/>
      <c r="AO15" s="3"/>
      <c r="AP15" s="3"/>
      <c r="AQ15" s="3"/>
      <c r="AR15" s="3"/>
      <c r="AS15" s="3"/>
      <c r="AT15" s="3"/>
      <c r="AV15" s="3"/>
      <c r="AW15" s="3"/>
      <c r="AX15" s="3"/>
      <c r="AY15" s="3"/>
      <c r="AZ15" s="3"/>
      <c r="BA15" s="3"/>
      <c r="BB15" s="3"/>
    </row>
    <row r="16">
      <c r="A16" s="24"/>
      <c r="B16" s="25" t="s">
        <v>16</v>
      </c>
      <c r="C16" s="26">
        <f t="shared" ref="C16:R16" si="47">AVERAGE(C13:C15)</f>
        <v>499.3076667</v>
      </c>
      <c r="D16" s="26">
        <f t="shared" si="47"/>
        <v>-7.119333333</v>
      </c>
      <c r="E16" s="26">
        <f t="shared" si="47"/>
        <v>-0.735</v>
      </c>
      <c r="F16" s="26">
        <f t="shared" si="47"/>
        <v>499.3611412</v>
      </c>
      <c r="G16" s="27">
        <f t="shared" si="47"/>
        <v>480.3333333</v>
      </c>
      <c r="H16" s="27">
        <f t="shared" si="47"/>
        <v>-5.666666667</v>
      </c>
      <c r="I16" s="27">
        <f t="shared" si="47"/>
        <v>0</v>
      </c>
      <c r="J16" s="27">
        <f t="shared" si="47"/>
        <v>480.394778</v>
      </c>
      <c r="K16" s="26">
        <f t="shared" si="47"/>
        <v>-0.6923333333</v>
      </c>
      <c r="L16" s="26">
        <f t="shared" si="47"/>
        <v>-7.119333333</v>
      </c>
      <c r="M16" s="26">
        <f t="shared" si="47"/>
        <v>-0.735</v>
      </c>
      <c r="N16" s="26">
        <f t="shared" si="47"/>
        <v>7.182151349</v>
      </c>
      <c r="O16" s="27">
        <f t="shared" si="47"/>
        <v>-19.66666667</v>
      </c>
      <c r="P16" s="27">
        <f t="shared" si="47"/>
        <v>-5.666666667</v>
      </c>
      <c r="Q16" s="27">
        <f t="shared" si="47"/>
        <v>0</v>
      </c>
      <c r="R16" s="27">
        <f t="shared" si="47"/>
        <v>21.01948177</v>
      </c>
      <c r="S16" s="28"/>
      <c r="T16" s="24"/>
      <c r="U16" s="25" t="s">
        <v>16</v>
      </c>
      <c r="V16" s="26">
        <f t="shared" ref="V16:AK16" si="48">AVERAGE(V13:V15)</f>
        <v>-1.310666667</v>
      </c>
      <c r="W16" s="26">
        <f t="shared" si="48"/>
        <v>-0.04433333333</v>
      </c>
      <c r="X16" s="26">
        <f t="shared" si="48"/>
        <v>0.04033333333</v>
      </c>
      <c r="Y16" s="26">
        <f t="shared" si="48"/>
        <v>1.311864721</v>
      </c>
      <c r="Z16" s="27">
        <f t="shared" si="48"/>
        <v>-4.666666667</v>
      </c>
      <c r="AA16" s="27">
        <f t="shared" si="48"/>
        <v>4.666666667</v>
      </c>
      <c r="AB16" s="27">
        <f t="shared" si="48"/>
        <v>23.66666667</v>
      </c>
      <c r="AC16" s="27">
        <f t="shared" si="48"/>
        <v>6.627105829</v>
      </c>
      <c r="AD16" s="26">
        <f t="shared" si="48"/>
        <v>-501.3106667</v>
      </c>
      <c r="AE16" s="26">
        <f t="shared" si="48"/>
        <v>-0.04433333333</v>
      </c>
      <c r="AF16" s="26">
        <f t="shared" si="48"/>
        <v>0.04033333333</v>
      </c>
      <c r="AG16" s="26">
        <f t="shared" si="48"/>
        <v>501.3106697</v>
      </c>
      <c r="AH16" s="27">
        <f t="shared" si="48"/>
        <v>-4.666666667</v>
      </c>
      <c r="AI16" s="27">
        <f t="shared" si="48"/>
        <v>4.666666667</v>
      </c>
      <c r="AJ16" s="27">
        <f t="shared" si="48"/>
        <v>23.66666667</v>
      </c>
      <c r="AK16" s="27">
        <f t="shared" si="48"/>
        <v>6.627105829</v>
      </c>
      <c r="AL16" s="28"/>
      <c r="AM16" s="10"/>
      <c r="AN16" s="3"/>
      <c r="AO16" s="10"/>
      <c r="AP16" s="10"/>
      <c r="AQ16" s="10"/>
      <c r="AR16" s="10"/>
      <c r="AS16" s="10"/>
      <c r="AT16" s="10"/>
      <c r="AV16" s="3"/>
      <c r="AW16" s="10"/>
      <c r="AX16" s="10"/>
      <c r="AY16" s="10"/>
      <c r="AZ16" s="10"/>
      <c r="BA16" s="10"/>
      <c r="BB16" s="10"/>
    </row>
    <row r="17">
      <c r="A17" s="23"/>
      <c r="B17" s="25" t="s">
        <v>17</v>
      </c>
      <c r="C17" s="17">
        <f t="shared" ref="C17:R17" si="49">MAX(C13:C15)</f>
        <v>500.108</v>
      </c>
      <c r="D17" s="17">
        <f t="shared" si="49"/>
        <v>-4.791</v>
      </c>
      <c r="E17" s="17">
        <f t="shared" si="49"/>
        <v>-0.339</v>
      </c>
      <c r="F17" s="17">
        <f t="shared" si="49"/>
        <v>500.1754178</v>
      </c>
      <c r="G17" s="18">
        <f t="shared" si="49"/>
        <v>481</v>
      </c>
      <c r="H17" s="18">
        <f t="shared" si="49"/>
        <v>-2</v>
      </c>
      <c r="I17" s="18">
        <f t="shared" si="49"/>
        <v>1</v>
      </c>
      <c r="J17" s="18">
        <f t="shared" si="49"/>
        <v>481.004158</v>
      </c>
      <c r="K17" s="17">
        <f t="shared" si="49"/>
        <v>0.108</v>
      </c>
      <c r="L17" s="17">
        <f t="shared" si="49"/>
        <v>-4.791</v>
      </c>
      <c r="M17" s="17">
        <f t="shared" si="49"/>
        <v>-0.339</v>
      </c>
      <c r="N17" s="17">
        <f t="shared" si="49"/>
        <v>8.507764101</v>
      </c>
      <c r="O17" s="18">
        <f t="shared" si="49"/>
        <v>-19</v>
      </c>
      <c r="P17" s="18">
        <f t="shared" si="49"/>
        <v>-2</v>
      </c>
      <c r="Q17" s="18">
        <f t="shared" si="49"/>
        <v>1</v>
      </c>
      <c r="R17" s="18">
        <f t="shared" si="49"/>
        <v>23.85372088</v>
      </c>
      <c r="S17" s="28"/>
      <c r="T17" s="23"/>
      <c r="U17" s="25" t="s">
        <v>17</v>
      </c>
      <c r="V17" s="17">
        <f t="shared" ref="V17:AK17" si="50">MAX(V13:V15)</f>
        <v>-1.247</v>
      </c>
      <c r="W17" s="17">
        <f t="shared" si="50"/>
        <v>-0.005</v>
      </c>
      <c r="X17" s="17">
        <f t="shared" si="50"/>
        <v>0.606</v>
      </c>
      <c r="Y17" s="17">
        <f t="shared" si="50"/>
        <v>1.348009273</v>
      </c>
      <c r="Z17" s="18">
        <f t="shared" si="50"/>
        <v>-3</v>
      </c>
      <c r="AA17" s="18">
        <f t="shared" si="50"/>
        <v>5</v>
      </c>
      <c r="AB17" s="18">
        <f t="shared" si="50"/>
        <v>24</v>
      </c>
      <c r="AC17" s="18">
        <f t="shared" si="50"/>
        <v>7.810249676</v>
      </c>
      <c r="AD17" s="17">
        <f t="shared" si="50"/>
        <v>-501.247</v>
      </c>
      <c r="AE17" s="17">
        <f t="shared" si="50"/>
        <v>-0.005</v>
      </c>
      <c r="AF17" s="17">
        <f t="shared" si="50"/>
        <v>0.606</v>
      </c>
      <c r="AG17" s="17">
        <f t="shared" si="50"/>
        <v>501.348</v>
      </c>
      <c r="AH17" s="18">
        <f t="shared" si="50"/>
        <v>-3</v>
      </c>
      <c r="AI17" s="18">
        <f t="shared" si="50"/>
        <v>5</v>
      </c>
      <c r="AJ17" s="18">
        <f t="shared" si="50"/>
        <v>24</v>
      </c>
      <c r="AK17" s="18">
        <f t="shared" si="50"/>
        <v>7.810249676</v>
      </c>
      <c r="AL17" s="28"/>
      <c r="AM17" s="10"/>
      <c r="AN17" s="10"/>
      <c r="AO17" s="10"/>
      <c r="AP17" s="10"/>
      <c r="AQ17" s="10"/>
      <c r="AR17" s="10"/>
      <c r="AS17" s="10"/>
      <c r="AT17" s="10"/>
      <c r="AV17" s="10"/>
      <c r="AW17" s="10"/>
      <c r="AX17" s="10"/>
      <c r="AY17" s="10"/>
      <c r="AZ17" s="10"/>
      <c r="BA17" s="10"/>
      <c r="BB17" s="10"/>
    </row>
    <row r="18">
      <c r="A18" s="23"/>
      <c r="B18" s="25" t="s">
        <v>18</v>
      </c>
      <c r="C18" s="17">
        <f t="shared" ref="C18:R18" si="51">MIN(C13:C15)</f>
        <v>498.395</v>
      </c>
      <c r="D18" s="17">
        <f t="shared" si="51"/>
        <v>-8.355</v>
      </c>
      <c r="E18" s="17">
        <f t="shared" si="51"/>
        <v>-1.018</v>
      </c>
      <c r="F18" s="17">
        <f t="shared" si="51"/>
        <v>498.4650259</v>
      </c>
      <c r="G18" s="18">
        <f t="shared" si="51"/>
        <v>480</v>
      </c>
      <c r="H18" s="18">
        <f t="shared" si="51"/>
        <v>-13</v>
      </c>
      <c r="I18" s="18">
        <f t="shared" si="51"/>
        <v>-2</v>
      </c>
      <c r="J18" s="18">
        <f t="shared" si="51"/>
        <v>480.0041666</v>
      </c>
      <c r="K18" s="17">
        <f t="shared" si="51"/>
        <v>-1.605</v>
      </c>
      <c r="L18" s="17">
        <f t="shared" si="51"/>
        <v>-8.355</v>
      </c>
      <c r="M18" s="17">
        <f t="shared" si="51"/>
        <v>-1.018</v>
      </c>
      <c r="N18" s="17">
        <f t="shared" si="51"/>
        <v>4.825979797</v>
      </c>
      <c r="O18" s="18">
        <f t="shared" si="51"/>
        <v>-20</v>
      </c>
      <c r="P18" s="18">
        <f t="shared" si="51"/>
        <v>-13</v>
      </c>
      <c r="Q18" s="18">
        <f t="shared" si="51"/>
        <v>-2</v>
      </c>
      <c r="R18" s="18">
        <f t="shared" si="51"/>
        <v>19.10497317</v>
      </c>
      <c r="S18" s="28"/>
      <c r="T18" s="23"/>
      <c r="U18" s="25" t="s">
        <v>18</v>
      </c>
      <c r="V18" s="17">
        <f t="shared" ref="V18:AK18" si="52">MIN(V13:V15)</f>
        <v>-1.348</v>
      </c>
      <c r="W18" s="17">
        <f t="shared" si="52"/>
        <v>-0.085</v>
      </c>
      <c r="X18" s="17">
        <f t="shared" si="52"/>
        <v>-0.412</v>
      </c>
      <c r="Y18" s="17">
        <f t="shared" si="52"/>
        <v>1.249893595</v>
      </c>
      <c r="Z18" s="18">
        <f t="shared" si="52"/>
        <v>-6</v>
      </c>
      <c r="AA18" s="18">
        <f t="shared" si="52"/>
        <v>4</v>
      </c>
      <c r="AB18" s="18">
        <f t="shared" si="52"/>
        <v>23</v>
      </c>
      <c r="AC18" s="18">
        <f t="shared" si="52"/>
        <v>5</v>
      </c>
      <c r="AD18" s="17">
        <f t="shared" si="52"/>
        <v>-501.348</v>
      </c>
      <c r="AE18" s="17">
        <f t="shared" si="52"/>
        <v>-0.085</v>
      </c>
      <c r="AF18" s="17">
        <f t="shared" si="52"/>
        <v>-0.412</v>
      </c>
      <c r="AG18" s="17">
        <f t="shared" si="52"/>
        <v>501.2470072</v>
      </c>
      <c r="AH18" s="18">
        <f t="shared" si="52"/>
        <v>-6</v>
      </c>
      <c r="AI18" s="18">
        <f t="shared" si="52"/>
        <v>4</v>
      </c>
      <c r="AJ18" s="18">
        <f t="shared" si="52"/>
        <v>23</v>
      </c>
      <c r="AK18" s="18">
        <f t="shared" si="52"/>
        <v>5</v>
      </c>
      <c r="AL18" s="28"/>
      <c r="AM18" s="10"/>
      <c r="AN18" s="10"/>
      <c r="AO18" s="10"/>
      <c r="AP18" s="10"/>
      <c r="AQ18" s="10"/>
      <c r="AR18" s="10"/>
      <c r="AS18" s="10"/>
      <c r="AT18" s="10"/>
      <c r="AV18" s="10"/>
      <c r="AW18" s="10"/>
      <c r="AX18" s="10"/>
      <c r="AY18" s="10"/>
      <c r="AZ18" s="10"/>
      <c r="BA18" s="10"/>
      <c r="BB18" s="10"/>
    </row>
    <row r="19">
      <c r="A19" s="8">
        <v>270.0</v>
      </c>
      <c r="B19" s="15" t="s">
        <v>15</v>
      </c>
      <c r="C19" s="16">
        <v>498.569</v>
      </c>
      <c r="D19" s="16">
        <v>-11.789</v>
      </c>
      <c r="E19" s="16">
        <v>-1.188</v>
      </c>
      <c r="F19" s="17">
        <f t="shared" ref="F19:F21" si="53">SQRT(POW(C19,2)+POW(D19,2))</f>
        <v>498.7083599</v>
      </c>
      <c r="G19" s="16">
        <v>461.0</v>
      </c>
      <c r="H19" s="16">
        <v>18.0</v>
      </c>
      <c r="I19" s="16">
        <v>3.0</v>
      </c>
      <c r="J19" s="18">
        <f t="shared" ref="J19:J21" si="54">SQRT(POW(G19,2)+POW(H19,2))</f>
        <v>461.3512761</v>
      </c>
      <c r="K19" s="19">
        <f t="shared" ref="K19:K21" si="55">(C19-$A$4)</f>
        <v>-1.431</v>
      </c>
      <c r="L19" s="20">
        <f t="shared" ref="L19:L21" si="56">(D19-$B$4)</f>
        <v>-11.789</v>
      </c>
      <c r="M19" s="20">
        <f t="shared" ref="M19:M21" si="57">(E19-$C$4)</f>
        <v>-1.188</v>
      </c>
      <c r="N19" s="20">
        <f t="shared" ref="N19:N21" si="58">SQRT(POW(K19,2)+POW(L19,2))</f>
        <v>11.87553291</v>
      </c>
      <c r="O19" s="21">
        <f t="shared" ref="O19:O21" si="59">(G19-$A$4)</f>
        <v>-39</v>
      </c>
      <c r="P19" s="22">
        <f t="shared" ref="P19:P21" si="60">(H19-$B$4)</f>
        <v>18</v>
      </c>
      <c r="Q19" s="22">
        <f t="shared" ref="Q19:Q21" si="61">(I19-$C$4)</f>
        <v>3</v>
      </c>
      <c r="R19" s="22">
        <f t="shared" ref="R19:R21" si="62">SQRT(POW(O19,2)+POW(P19,2))</f>
        <v>42.95346319</v>
      </c>
      <c r="T19" s="8">
        <v>180.0</v>
      </c>
      <c r="U19" s="15" t="s">
        <v>15</v>
      </c>
      <c r="V19" s="16">
        <v>-1.734</v>
      </c>
      <c r="W19" s="16">
        <v>-0.22</v>
      </c>
      <c r="X19" s="16">
        <v>-2.109</v>
      </c>
      <c r="Y19" s="17">
        <f t="shared" ref="Y19:Y21" si="63">SQRT(POW(V19,2)+POW(W19,2))</f>
        <v>1.747900455</v>
      </c>
      <c r="Z19" s="16">
        <v>-3.0</v>
      </c>
      <c r="AA19" s="16">
        <v>2.0</v>
      </c>
      <c r="AB19" s="16">
        <v>29.0</v>
      </c>
      <c r="AC19" s="18">
        <f t="shared" ref="AC19:AC21" si="64">SQRT(POW(Z19,2)+POW(AA19,2))</f>
        <v>3.605551275</v>
      </c>
      <c r="AD19" s="19">
        <f t="shared" ref="AD19:AD21" si="65">(V19-$A$4)</f>
        <v>-501.734</v>
      </c>
      <c r="AE19" s="20">
        <f t="shared" ref="AE19:AE21" si="66">(W19-$B$4)</f>
        <v>-0.22</v>
      </c>
      <c r="AF19" s="20">
        <f t="shared" ref="AF19:AF21" si="67">(X19-$C$4)</f>
        <v>-2.109</v>
      </c>
      <c r="AG19" s="20">
        <f t="shared" ref="AG19:AG21" si="68">SQRT(POW(AD19,2)+POW(AE19,2))</f>
        <v>501.7340482</v>
      </c>
      <c r="AH19" s="21">
        <f t="shared" ref="AH19:AH21" si="69">(Z19-$T$4)</f>
        <v>-3</v>
      </c>
      <c r="AI19" s="22">
        <f t="shared" ref="AI19:AI21" si="70">(AA19-$U$4)</f>
        <v>2</v>
      </c>
      <c r="AJ19" s="22">
        <f t="shared" ref="AJ19:AJ21" si="71">(AB19-$V$4)</f>
        <v>29</v>
      </c>
      <c r="AK19" s="22">
        <f t="shared" ref="AK19:AK21" si="72">SQRT(POW(AH19,2)+POW(AI19,2))</f>
        <v>3.605551275</v>
      </c>
      <c r="AN19" s="10"/>
      <c r="AV19" s="10"/>
    </row>
    <row r="20">
      <c r="B20" s="23">
        <v>2.0</v>
      </c>
      <c r="C20" s="16">
        <v>498.85</v>
      </c>
      <c r="D20" s="16">
        <v>-10.177</v>
      </c>
      <c r="E20" s="16">
        <v>-1.018</v>
      </c>
      <c r="F20" s="17">
        <f t="shared" si="53"/>
        <v>498.9537993</v>
      </c>
      <c r="G20" s="16">
        <v>468.0</v>
      </c>
      <c r="H20" s="16">
        <v>-8.0</v>
      </c>
      <c r="I20" s="16">
        <v>-2.0</v>
      </c>
      <c r="J20" s="18">
        <f t="shared" si="54"/>
        <v>468.0683711</v>
      </c>
      <c r="K20" s="19">
        <f t="shared" si="55"/>
        <v>-1.15</v>
      </c>
      <c r="L20" s="20">
        <f t="shared" si="56"/>
        <v>-10.177</v>
      </c>
      <c r="M20" s="20">
        <f t="shared" si="57"/>
        <v>-1.018</v>
      </c>
      <c r="N20" s="20">
        <f t="shared" si="58"/>
        <v>10.24176884</v>
      </c>
      <c r="O20" s="21">
        <f t="shared" si="59"/>
        <v>-32</v>
      </c>
      <c r="P20" s="22">
        <f t="shared" si="60"/>
        <v>-8</v>
      </c>
      <c r="Q20" s="22">
        <f t="shared" si="61"/>
        <v>-2</v>
      </c>
      <c r="R20" s="22">
        <f t="shared" si="62"/>
        <v>32.984845</v>
      </c>
      <c r="U20" s="23">
        <v>2.0</v>
      </c>
      <c r="V20" s="16">
        <v>-1.675</v>
      </c>
      <c r="W20" s="16">
        <v>-0.081</v>
      </c>
      <c r="X20" s="16">
        <v>-1.091</v>
      </c>
      <c r="Y20" s="17">
        <f t="shared" si="63"/>
        <v>1.676957364</v>
      </c>
      <c r="Z20" s="16">
        <v>-5.0</v>
      </c>
      <c r="AA20" s="16">
        <v>3.0</v>
      </c>
      <c r="AB20" s="16">
        <v>26.0</v>
      </c>
      <c r="AC20" s="18">
        <f t="shared" si="64"/>
        <v>5.830951895</v>
      </c>
      <c r="AD20" s="19">
        <f t="shared" si="65"/>
        <v>-501.675</v>
      </c>
      <c r="AE20" s="20">
        <f t="shared" si="66"/>
        <v>-0.081</v>
      </c>
      <c r="AF20" s="20">
        <f t="shared" si="67"/>
        <v>-1.091</v>
      </c>
      <c r="AG20" s="20">
        <f t="shared" si="68"/>
        <v>501.6750065</v>
      </c>
      <c r="AH20" s="21">
        <f t="shared" si="69"/>
        <v>-5</v>
      </c>
      <c r="AI20" s="22">
        <f t="shared" si="70"/>
        <v>3</v>
      </c>
      <c r="AJ20" s="22">
        <f t="shared" si="71"/>
        <v>26</v>
      </c>
      <c r="AK20" s="22">
        <f t="shared" si="72"/>
        <v>5.830951895</v>
      </c>
    </row>
    <row r="21">
      <c r="B21" s="23">
        <v>3.0</v>
      </c>
      <c r="C21" s="16">
        <v>496.832</v>
      </c>
      <c r="D21" s="16">
        <v>-12.854</v>
      </c>
      <c r="E21" s="16">
        <v>-1.385</v>
      </c>
      <c r="F21" s="17">
        <f t="shared" si="53"/>
        <v>496.998251</v>
      </c>
      <c r="G21" s="16">
        <v>460.0</v>
      </c>
      <c r="H21" s="16">
        <v>-7.0</v>
      </c>
      <c r="I21" s="16">
        <v>-2.0</v>
      </c>
      <c r="J21" s="18">
        <f t="shared" si="54"/>
        <v>460.0532578</v>
      </c>
      <c r="K21" s="19">
        <f t="shared" si="55"/>
        <v>-3.168</v>
      </c>
      <c r="L21" s="20">
        <f t="shared" si="56"/>
        <v>-12.854</v>
      </c>
      <c r="M21" s="20">
        <f t="shared" si="57"/>
        <v>-1.385</v>
      </c>
      <c r="N21" s="20">
        <f t="shared" si="58"/>
        <v>13.23863815</v>
      </c>
      <c r="O21" s="21">
        <f t="shared" si="59"/>
        <v>-40</v>
      </c>
      <c r="P21" s="22">
        <f t="shared" si="60"/>
        <v>-7</v>
      </c>
      <c r="Q21" s="22">
        <f t="shared" si="61"/>
        <v>-2</v>
      </c>
      <c r="R21" s="22">
        <f t="shared" si="62"/>
        <v>40.60788101</v>
      </c>
      <c r="U21" s="23">
        <v>3.0</v>
      </c>
      <c r="V21" s="16">
        <v>-1.491</v>
      </c>
      <c r="W21" s="16">
        <v>-0.273</v>
      </c>
      <c r="X21" s="16">
        <v>-2.985</v>
      </c>
      <c r="Y21" s="17">
        <f t="shared" si="63"/>
        <v>1.515786924</v>
      </c>
      <c r="Z21" s="16">
        <v>-4.0</v>
      </c>
      <c r="AA21" s="16">
        <v>2.0</v>
      </c>
      <c r="AB21" s="16">
        <v>26.0</v>
      </c>
      <c r="AC21" s="18">
        <f t="shared" si="64"/>
        <v>4.472135955</v>
      </c>
      <c r="AD21" s="19">
        <f t="shared" si="65"/>
        <v>-501.491</v>
      </c>
      <c r="AE21" s="20">
        <f t="shared" si="66"/>
        <v>-0.273</v>
      </c>
      <c r="AF21" s="20">
        <f t="shared" si="67"/>
        <v>-2.985</v>
      </c>
      <c r="AG21" s="20">
        <f t="shared" si="68"/>
        <v>501.4910743</v>
      </c>
      <c r="AH21" s="21">
        <f t="shared" si="69"/>
        <v>-4</v>
      </c>
      <c r="AI21" s="22">
        <f t="shared" si="70"/>
        <v>2</v>
      </c>
      <c r="AJ21" s="22">
        <f t="shared" si="71"/>
        <v>26</v>
      </c>
      <c r="AK21" s="22">
        <f t="shared" si="72"/>
        <v>4.472135955</v>
      </c>
    </row>
    <row r="22">
      <c r="A22" s="24"/>
      <c r="B22" s="25" t="s">
        <v>16</v>
      </c>
      <c r="C22" s="26">
        <f t="shared" ref="C22:R22" si="73">AVERAGE(C19:C21)</f>
        <v>498.0836667</v>
      </c>
      <c r="D22" s="26">
        <f t="shared" si="73"/>
        <v>-11.60666667</v>
      </c>
      <c r="E22" s="26">
        <f t="shared" si="73"/>
        <v>-1.197</v>
      </c>
      <c r="F22" s="26">
        <f t="shared" si="73"/>
        <v>498.2201368</v>
      </c>
      <c r="G22" s="27">
        <f t="shared" si="73"/>
        <v>463</v>
      </c>
      <c r="H22" s="27">
        <f t="shared" si="73"/>
        <v>1</v>
      </c>
      <c r="I22" s="27">
        <f t="shared" si="73"/>
        <v>-0.3333333333</v>
      </c>
      <c r="J22" s="27">
        <f t="shared" si="73"/>
        <v>463.157635</v>
      </c>
      <c r="K22" s="26">
        <f t="shared" si="73"/>
        <v>-1.916333333</v>
      </c>
      <c r="L22" s="26">
        <f t="shared" si="73"/>
        <v>-11.60666667</v>
      </c>
      <c r="M22" s="26">
        <f t="shared" si="73"/>
        <v>-1.197</v>
      </c>
      <c r="N22" s="26">
        <f t="shared" si="73"/>
        <v>11.7853133</v>
      </c>
      <c r="O22" s="27">
        <f t="shared" si="73"/>
        <v>-37</v>
      </c>
      <c r="P22" s="27">
        <f t="shared" si="73"/>
        <v>1</v>
      </c>
      <c r="Q22" s="27">
        <f t="shared" si="73"/>
        <v>-0.3333333333</v>
      </c>
      <c r="R22" s="27">
        <f t="shared" si="73"/>
        <v>38.84872973</v>
      </c>
      <c r="T22" s="24"/>
      <c r="U22" s="25" t="s">
        <v>16</v>
      </c>
      <c r="V22" s="26">
        <f t="shared" ref="V22:AK22" si="74">AVERAGE(V19:V21)</f>
        <v>-1.633333333</v>
      </c>
      <c r="W22" s="26">
        <f t="shared" si="74"/>
        <v>-0.1913333333</v>
      </c>
      <c r="X22" s="26">
        <f t="shared" si="74"/>
        <v>-2.061666667</v>
      </c>
      <c r="Y22" s="26">
        <f t="shared" si="74"/>
        <v>1.646881581</v>
      </c>
      <c r="Z22" s="27">
        <f t="shared" si="74"/>
        <v>-4</v>
      </c>
      <c r="AA22" s="27">
        <f t="shared" si="74"/>
        <v>2.333333333</v>
      </c>
      <c r="AB22" s="27">
        <f t="shared" si="74"/>
        <v>27</v>
      </c>
      <c r="AC22" s="27">
        <f t="shared" si="74"/>
        <v>4.636213042</v>
      </c>
      <c r="AD22" s="26">
        <f t="shared" si="74"/>
        <v>-501.6333333</v>
      </c>
      <c r="AE22" s="26">
        <f t="shared" si="74"/>
        <v>-0.1913333333</v>
      </c>
      <c r="AF22" s="26">
        <f t="shared" si="74"/>
        <v>-2.061666667</v>
      </c>
      <c r="AG22" s="26">
        <f t="shared" si="74"/>
        <v>501.6333764</v>
      </c>
      <c r="AH22" s="27">
        <f t="shared" si="74"/>
        <v>-4</v>
      </c>
      <c r="AI22" s="27">
        <f t="shared" si="74"/>
        <v>2.333333333</v>
      </c>
      <c r="AJ22" s="27">
        <f t="shared" si="74"/>
        <v>27</v>
      </c>
      <c r="AK22" s="27">
        <f t="shared" si="74"/>
        <v>4.636213042</v>
      </c>
    </row>
    <row r="23">
      <c r="A23" s="23"/>
      <c r="B23" s="25" t="s">
        <v>17</v>
      </c>
      <c r="C23" s="17">
        <f t="shared" ref="C23:R23" si="75">MAX(C19:C21)</f>
        <v>498.85</v>
      </c>
      <c r="D23" s="17">
        <f t="shared" si="75"/>
        <v>-10.177</v>
      </c>
      <c r="E23" s="17">
        <f t="shared" si="75"/>
        <v>-1.018</v>
      </c>
      <c r="F23" s="17">
        <f t="shared" si="75"/>
        <v>498.9537993</v>
      </c>
      <c r="G23" s="18">
        <f t="shared" si="75"/>
        <v>468</v>
      </c>
      <c r="H23" s="18">
        <f t="shared" si="75"/>
        <v>18</v>
      </c>
      <c r="I23" s="18">
        <f t="shared" si="75"/>
        <v>3</v>
      </c>
      <c r="J23" s="18">
        <f t="shared" si="75"/>
        <v>468.0683711</v>
      </c>
      <c r="K23" s="17">
        <f t="shared" si="75"/>
        <v>-1.15</v>
      </c>
      <c r="L23" s="17">
        <f t="shared" si="75"/>
        <v>-10.177</v>
      </c>
      <c r="M23" s="17">
        <f t="shared" si="75"/>
        <v>-1.018</v>
      </c>
      <c r="N23" s="17">
        <f t="shared" si="75"/>
        <v>13.23863815</v>
      </c>
      <c r="O23" s="18">
        <f t="shared" si="75"/>
        <v>-32</v>
      </c>
      <c r="P23" s="18">
        <f t="shared" si="75"/>
        <v>18</v>
      </c>
      <c r="Q23" s="18">
        <f t="shared" si="75"/>
        <v>3</v>
      </c>
      <c r="R23" s="18">
        <f t="shared" si="75"/>
        <v>42.95346319</v>
      </c>
      <c r="T23" s="23"/>
      <c r="U23" s="25" t="s">
        <v>17</v>
      </c>
      <c r="V23" s="17">
        <f t="shared" ref="V23:AK23" si="76">MAX(V19:V21)</f>
        <v>-1.491</v>
      </c>
      <c r="W23" s="17">
        <f t="shared" si="76"/>
        <v>-0.081</v>
      </c>
      <c r="X23" s="17">
        <f t="shared" si="76"/>
        <v>-1.091</v>
      </c>
      <c r="Y23" s="17">
        <f t="shared" si="76"/>
        <v>1.747900455</v>
      </c>
      <c r="Z23" s="18">
        <f t="shared" si="76"/>
        <v>-3</v>
      </c>
      <c r="AA23" s="18">
        <f t="shared" si="76"/>
        <v>3</v>
      </c>
      <c r="AB23" s="18">
        <f t="shared" si="76"/>
        <v>29</v>
      </c>
      <c r="AC23" s="18">
        <f t="shared" si="76"/>
        <v>5.830951895</v>
      </c>
      <c r="AD23" s="17">
        <f t="shared" si="76"/>
        <v>-501.491</v>
      </c>
      <c r="AE23" s="17">
        <f t="shared" si="76"/>
        <v>-0.081</v>
      </c>
      <c r="AF23" s="17">
        <f t="shared" si="76"/>
        <v>-1.091</v>
      </c>
      <c r="AG23" s="17">
        <f t="shared" si="76"/>
        <v>501.7340482</v>
      </c>
      <c r="AH23" s="18">
        <f t="shared" si="76"/>
        <v>-3</v>
      </c>
      <c r="AI23" s="18">
        <f t="shared" si="76"/>
        <v>3</v>
      </c>
      <c r="AJ23" s="18">
        <f t="shared" si="76"/>
        <v>29</v>
      </c>
      <c r="AK23" s="18">
        <f t="shared" si="76"/>
        <v>5.830951895</v>
      </c>
    </row>
    <row r="24">
      <c r="A24" s="23"/>
      <c r="B24" s="25" t="s">
        <v>18</v>
      </c>
      <c r="C24" s="17">
        <f t="shared" ref="C24:R24" si="77">MIN(C19:C21)</f>
        <v>496.832</v>
      </c>
      <c r="D24" s="17">
        <f t="shared" si="77"/>
        <v>-12.854</v>
      </c>
      <c r="E24" s="17">
        <f t="shared" si="77"/>
        <v>-1.385</v>
      </c>
      <c r="F24" s="17">
        <f t="shared" si="77"/>
        <v>496.998251</v>
      </c>
      <c r="G24" s="18">
        <f t="shared" si="77"/>
        <v>460</v>
      </c>
      <c r="H24" s="18">
        <f t="shared" si="77"/>
        <v>-8</v>
      </c>
      <c r="I24" s="18">
        <f t="shared" si="77"/>
        <v>-2</v>
      </c>
      <c r="J24" s="18">
        <f t="shared" si="77"/>
        <v>460.0532578</v>
      </c>
      <c r="K24" s="17">
        <f t="shared" si="77"/>
        <v>-3.168</v>
      </c>
      <c r="L24" s="17">
        <f t="shared" si="77"/>
        <v>-12.854</v>
      </c>
      <c r="M24" s="17">
        <f t="shared" si="77"/>
        <v>-1.385</v>
      </c>
      <c r="N24" s="17">
        <f t="shared" si="77"/>
        <v>10.24176884</v>
      </c>
      <c r="O24" s="18">
        <f t="shared" si="77"/>
        <v>-40</v>
      </c>
      <c r="P24" s="18">
        <f t="shared" si="77"/>
        <v>-8</v>
      </c>
      <c r="Q24" s="18">
        <f t="shared" si="77"/>
        <v>-2</v>
      </c>
      <c r="R24" s="18">
        <f t="shared" si="77"/>
        <v>32.984845</v>
      </c>
      <c r="T24" s="23"/>
      <c r="U24" s="25" t="s">
        <v>18</v>
      </c>
      <c r="V24" s="17">
        <f t="shared" ref="V24:AK24" si="78">MIN(V19:V21)</f>
        <v>-1.734</v>
      </c>
      <c r="W24" s="17">
        <f t="shared" si="78"/>
        <v>-0.273</v>
      </c>
      <c r="X24" s="17">
        <f t="shared" si="78"/>
        <v>-2.985</v>
      </c>
      <c r="Y24" s="17">
        <f t="shared" si="78"/>
        <v>1.515786924</v>
      </c>
      <c r="Z24" s="18">
        <f t="shared" si="78"/>
        <v>-5</v>
      </c>
      <c r="AA24" s="18">
        <f t="shared" si="78"/>
        <v>2</v>
      </c>
      <c r="AB24" s="18">
        <f t="shared" si="78"/>
        <v>26</v>
      </c>
      <c r="AC24" s="18">
        <f t="shared" si="78"/>
        <v>3.605551275</v>
      </c>
      <c r="AD24" s="17">
        <f t="shared" si="78"/>
        <v>-501.734</v>
      </c>
      <c r="AE24" s="17">
        <f t="shared" si="78"/>
        <v>-0.273</v>
      </c>
      <c r="AF24" s="17">
        <f t="shared" si="78"/>
        <v>-2.985</v>
      </c>
      <c r="AG24" s="17">
        <f t="shared" si="78"/>
        <v>501.4910743</v>
      </c>
      <c r="AH24" s="18">
        <f t="shared" si="78"/>
        <v>-5</v>
      </c>
      <c r="AI24" s="18">
        <f t="shared" si="78"/>
        <v>2</v>
      </c>
      <c r="AJ24" s="18">
        <f t="shared" si="78"/>
        <v>26</v>
      </c>
      <c r="AK24" s="18">
        <f t="shared" si="78"/>
        <v>3.605551275</v>
      </c>
    </row>
  </sheetData>
  <mergeCells count="16">
    <mergeCell ref="C5:F5"/>
    <mergeCell ref="G5:J5"/>
    <mergeCell ref="K5:N5"/>
    <mergeCell ref="O5:R5"/>
    <mergeCell ref="U5:U6"/>
    <mergeCell ref="V5:Y5"/>
    <mergeCell ref="Z5:AC5"/>
    <mergeCell ref="AD5:AG5"/>
    <mergeCell ref="A1:R1"/>
    <mergeCell ref="T1:AK1"/>
    <mergeCell ref="A2:D2"/>
    <mergeCell ref="E2:R3"/>
    <mergeCell ref="T2:W2"/>
    <mergeCell ref="X2:AK3"/>
    <mergeCell ref="B5:B6"/>
    <mergeCell ref="AH5:AK5"/>
  </mergeCells>
  <drawing r:id="rId1"/>
</worksheet>
</file>